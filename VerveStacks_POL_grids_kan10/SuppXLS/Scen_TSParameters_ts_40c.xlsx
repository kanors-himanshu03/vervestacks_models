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3CE54C7C-2E16-433B-8D5D-741D1181904C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3" l="1"/>
  <c r="F9" i="12"/>
  <c r="F9" i="11"/>
  <c r="A10" i="6"/>
  <c r="G9" i="10"/>
  <c r="GK9" i="9"/>
  <c r="EU9" i="9"/>
  <c r="DD9" i="9"/>
  <c r="BM9" i="9"/>
  <c r="V9" i="9"/>
  <c r="AA9" i="8"/>
  <c r="V9" i="8"/>
  <c r="Q9" i="8"/>
  <c r="A11" i="7"/>
  <c r="B9" i="13"/>
  <c r="B9" i="12"/>
  <c r="B9" i="11"/>
  <c r="H23" i="6"/>
  <c r="B9" i="10"/>
  <c r="Q9" i="9"/>
  <c r="N9" i="9"/>
  <c r="J9" i="9"/>
  <c r="F9" i="9"/>
  <c r="B9" i="9"/>
  <c r="L9" i="8"/>
  <c r="G9" i="8"/>
  <c r="B9" i="8"/>
  <c r="C9" i="7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<sst xmlns="http://schemas.openxmlformats.org/spreadsheetml/2006/main" count="7252" uniqueCount="225">
  <si>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</si>
  <si>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</si>
  <si>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</si>
  <si>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</si>
  <si>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</si>
  <si>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</si>
  <si>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</si>
  <si>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</si>
  <si>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</si>
  <si>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</si>
  <si>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</si>
  <si>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</si>
  <si>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</si>
  <si>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</si>
  <si>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</si>
  <si>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</si>
  <si>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</si>
  <si>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</si>
  <si>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</si>
  <si>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</si>
  <si>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</si>
  <si>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</si>
  <si>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</si>
  <si>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</si>
  <si>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</si>
  <si>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</si>
  <si>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</si>
  <si>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</si>
  <si>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</si>
  <si>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</si>
  <si>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</si>
  <si>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</si>
  <si>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</si>
  <si>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</si>
  <si>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</si>
  <si>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</si>
  <si>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</si>
  <si>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</si>
  <si>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</si>
  <si>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ts_annual</t>
  </si>
  <si>
    <t>commodity</t>
  </si>
  <si>
    <t>timeslice</t>
  </si>
  <si>
    <t>com_fr</t>
  </si>
  <si>
    <t>process</t>
  </si>
  <si>
    <t>AllSaAllH</t>
  </si>
  <si>
    <t>other_indexes</t>
  </si>
  <si>
    <t>ncap_com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</si>
  <si>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</si>
  <si>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</si>
  <si>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</si>
  <si>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</si>
  <si>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</si>
  <si>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</si>
  <si>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</si>
  <si>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</si>
  <si>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</si>
  <si>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</si>
  <si>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</si>
  <si>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</si>
  <si>
    <t>S01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</si>
  <si>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</si>
  <si>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</si>
  <si>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</si>
  <si>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</si>
  <si>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</si>
  <si>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</si>
  <si>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</si>
  <si>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</si>
  <si>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</si>
  <si>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</si>
  <si>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</si>
  <si>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</si>
  <si>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</si>
  <si>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</si>
  <si>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</si>
  <si>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</si>
  <si>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</si>
  <si>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</si>
  <si>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</si>
  <si>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</si>
  <si>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</si>
  <si>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</si>
  <si>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</si>
  <si>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</si>
  <si>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</si>
  <si>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</si>
  <si>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</si>
  <si>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</si>
  <si>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</si>
  <si>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</si>
  <si>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</si>
  <si>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</si>
  <si>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</si>
  <si>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</si>
  <si>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</si>
  <si>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</si>
  <si>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</si>
  <si>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</si>
  <si>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</si>
  <si>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</si>
  <si>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</si>
  <si>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</si>
  <si>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</si>
  <si>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</si>
  <si>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</si>
  <si>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</si>
  <si>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</si>
  <si>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</si>
  <si>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</si>
  <si>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</si>
  <si>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</si>
  <si>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</si>
  <si>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</si>
  <si>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</si>
  <si>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</si>
  <si>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</si>
  <si>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</si>
  <si>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</si>
  <si>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</si>
  <si>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</si>
  <si>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</si>
  <si>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</si>
  <si>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</si>
  <si>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</si>
  <si>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</si>
  <si>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</si>
  <si>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</si>
  <si>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</si>
  <si>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</si>
  <si>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</si>
  <si>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</si>
  <si>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</si>
  <si>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</si>
  <si>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</si>
  <si>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</si>
  <si>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</si>
  <si>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</si>
  <si>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</si>
  <si>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</si>
  <si>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</si>
  <si>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</si>
  <si>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</si>
  <si>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</si>
  <si>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</si>
  <si>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</si>
  <si>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</si>
  <si>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</si>
  <si>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</si>
  <si>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</si>
  <si>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</si>
  <si>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</si>
  <si>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</si>
  <si>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</si>
  <si>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</si>
  <si>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</si>
  <si>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</si>
  <si>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</si>
  <si>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</si>
  <si>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</si>
  <si>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</si>
  <si>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</si>
  <si>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</si>
  <si>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</si>
  <si>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</si>
  <si>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</si>
  <si>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</si>
  <si>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</si>
  <si>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</si>
  <si>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</si>
  <si>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</si>
  <si>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</si>
  <si>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</si>
  <si>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</si>
  <si>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</si>
  <si>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</si>
  <si>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</si>
  <si>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</si>
  <si>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</si>
  <si>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</si>
  <si>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</si>
  <si>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</si>
  <si>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</si>
  <si>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</si>
  <si>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</si>
  <si>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</si>
  <si>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</si>
  <si>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</si>
  <si>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</si>
  <si>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</si>
  <si>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</si>
  <si>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</si>
  <si>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</si>
  <si>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</si>
  <si>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</si>
  <si>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</si>
  <si>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</si>
  <si>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</si>
  <si>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</si>
  <si>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</si>
  <si>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</si>
  <si>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</si>
  <si>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</si>
  <si>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</si>
  <si>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</si>
  <si>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</si>
  <si>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</si>
  <si>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</si>
  <si>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</si>
  <si>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</si>
  <si>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</si>
  <si>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</si>
  <si>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</si>
  <si>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</si>
  <si>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</si>
  <si>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</si>
  <si>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</si>
  <si>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</si>
  <si>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</si>
  <si>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</si>
  <si>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</si>
  <si>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</si>
  <si>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DEF_C</t>
  </si>
  <si>
    <t>OUT</t>
  </si>
  <si>
    <t>S01aH04,S01aH07,S02aH07,S01aH06,S02aH03,S02aH06,S03aH05,S03aH08,S04aH07,S04aH03,S03aH03,S04aH05,S04aH08,S01aH03,S03aH04,S04aH02,S01aH05,S01aH08,S02aH08,S03aH06,S03aH07,S04aH06,S02aH02,S03aH02,S01aH02,S04aH04,S02aH04,S02aH05</t>
  </si>
  <si>
    <t>S01aH09,S01aH01,S04aH01,S03aH09,S02aH01,S02aH10,S02aH02,S04aH10,S04aH08,S02aH09,S04aH09,S01aH10,S03aH02,S01aH02,S03aH01,S04aH02,S01aH08,S02aH08,S03aH08,S03aH10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</si>
</sst>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7" x14ac:dyDescent="0.25">
      <c r="A10" t="str">
        <f>IFERROR([1]Veda!D5,"ts_40c")</f>
        <v>ts_40c</v>
      </c>
      <c r="B10" s="5"/>
      <c r="C10" s="5" t="s">
        <v>49</v>
      </c>
      <c r="D10" t="s">
        <v>39</v>
      </c>
      <c r="F10" t="s">
        <v>49</v>
      </c>
      <c r="G10" t="s">
        <v>74</v>
      </c>
    </row>
    <row r="11" spans="1:7" x14ac:dyDescent="0.25">
      <c r="B11" s="5"/>
      <c r="C11" s="5" t="s">
        <v>50</v>
      </c>
      <c r="D11" t="s">
        <v>44</v>
      </c>
      <c r="F11" t="s">
        <v>50</v>
      </c>
      <c r="G11" t="s">
        <v>223</v>
      </c>
    </row>
    <row r="12" spans="1:7" x14ac:dyDescent="0.25">
      <c r="B12" s="5"/>
      <c r="C12" s="5" t="s">
        <v>51</v>
      </c>
      <c r="D12" t="s">
        <v>44</v>
      </c>
      <c r="F12" t="s">
        <v>51</v>
      </c>
      <c r="G12" t="s">
        <v>224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S01aH09,S01aH01,S04aH01,S03aH09,S02aH01,S02aH10,S02aH02,S04aH10,S04aH08,S02aH09,S04aH09,S01aH10,S03aH02,S01aH02,S03aH01,S04aH02,S01aH08,S02aH08,S03aH08,S03aH10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S01aH04,S01aH07,S02aH07,S01aH06,S02aH03,S02aH06,S03aH05,S03aH08,S04aH07,S04aH03,S03aH03,S04aH05,S04aH08,S01aH03,S03aH04,S04aH02,S01aH05,S01aH08,S02aH08,S03aH06,S03aH07,S04aH06,S02aH02,S03aH02,S01aH02,S04aH04,S02aH04,S02aH05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4D15-152D-46E7-A881-1C1F55214BE6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74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59</v>
      </c>
      <c r="D11" t="s">
        <v>38</v>
      </c>
      <c r="E11" t="s">
        <v>60</v>
      </c>
      <c r="F11" t="s">
        <v>61</v>
      </c>
      <c r="G11" t="s">
        <v>38</v>
      </c>
    </row>
    <row r="12" spans="1:7" x14ac:dyDescent="0.25">
      <c r="C12" t="s">
        <v>62</v>
      </c>
      <c r="E12" t="s">
        <v>63</v>
      </c>
      <c r="G12" t="s">
        <v>38</v>
      </c>
    </row>
    <row r="13" spans="1:7" x14ac:dyDescent="0.25">
      <c r="C13" t="s">
        <v>64</v>
      </c>
      <c r="E13" t="s">
        <v>65</v>
      </c>
      <c r="G13" t="s">
        <v>38</v>
      </c>
    </row>
    <row r="14" spans="1:7" x14ac:dyDescent="0.25">
      <c r="C14" t="s">
        <v>66</v>
      </c>
      <c r="E14" t="s">
        <v>67</v>
      </c>
      <c r="G14" t="s">
        <v>38</v>
      </c>
    </row>
    <row r="15" spans="1:7" x14ac:dyDescent="0.25">
      <c r="E15" t="s">
        <v>68</v>
      </c>
      <c r="G15" t="s">
        <v>38</v>
      </c>
    </row>
    <row r="16" spans="1:7" x14ac:dyDescent="0.25">
      <c r="E16" t="s">
        <v>69</v>
      </c>
      <c r="G16" t="s">
        <v>38</v>
      </c>
    </row>
    <row r="17" spans="5:7" x14ac:dyDescent="0.25">
      <c r="E17" t="s">
        <v>70</v>
      </c>
      <c r="G17" t="s">
        <v>38</v>
      </c>
    </row>
    <row r="18" spans="5:7" x14ac:dyDescent="0.25">
      <c r="E18" t="s">
        <v>71</v>
      </c>
      <c r="G18" t="s">
        <v>38</v>
      </c>
    </row>
    <row r="19" spans="5:7" x14ac:dyDescent="0.25">
      <c r="E19" t="s">
        <v>72</v>
      </c>
      <c r="G19" t="s">
        <v>38</v>
      </c>
    </row>
    <row r="20" spans="5:7" x14ac:dyDescent="0.25">
      <c r="E20" t="s">
        <v>73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3EE19-87D7-4F03-9338-BBBD1C0EBDD7}">
  <dimension ref="B9:AD810"/>
  <sheetViews>
    <sheetView workbookViewId="0">
      <selection activeCell="L28" sqref="L28"/>
    </sheetView>
  </sheetViews>
  <sheetFormatPr defaultRowHeight="15" x14ac:dyDescent="0.25"/>
  <sheetData>
    <row r="9" spans="2:30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  <c r="Q9" t="str">
        <f>IF(A11="x","DeActivated","~TFM_DINS-AT")</f>
        <v>~TFM_DINS-AT</v>
      </c>
      <c r="V9" t="str">
        <f>IF(A11="x","DeActivated","~TFM_DINS-AT")</f>
        <v>~TFM_DINS-AT</v>
      </c>
      <c r="AA9" t="str">
        <f>IF(A11="x","DeActivated","~TFM_DINS-AT")</f>
        <v>~TFM_DINS-AT</v>
      </c>
    </row>
    <row r="10" spans="2:30" x14ac:dyDescent="0.25">
      <c r="B10" t="s">
        <v>40</v>
      </c>
      <c r="C10" t="s">
        <v>41</v>
      </c>
      <c r="D10" t="s">
        <v>42</v>
      </c>
      <c r="E10" t="s">
        <v>43</v>
      </c>
      <c r="G10" t="s">
        <v>40</v>
      </c>
      <c r="H10" t="s">
        <v>41</v>
      </c>
      <c r="I10" t="s">
        <v>42</v>
      </c>
      <c r="J10" t="s">
        <v>43</v>
      </c>
      <c r="L10" t="s">
        <v>40</v>
      </c>
      <c r="M10" t="s">
        <v>41</v>
      </c>
      <c r="N10" t="s">
        <v>42</v>
      </c>
      <c r="O10" t="s">
        <v>43</v>
      </c>
      <c r="Q10" t="s">
        <v>40</v>
      </c>
      <c r="R10" t="s">
        <v>41</v>
      </c>
      <c r="S10" t="s">
        <v>42</v>
      </c>
      <c r="T10" t="s">
        <v>43</v>
      </c>
      <c r="V10" t="s">
        <v>40</v>
      </c>
      <c r="W10" t="s">
        <v>41</v>
      </c>
      <c r="X10" t="s">
        <v>42</v>
      </c>
      <c r="Y10" t="s">
        <v>43</v>
      </c>
      <c r="AA10" t="s">
        <v>40</v>
      </c>
      <c r="AB10" t="s">
        <v>41</v>
      </c>
      <c r="AC10" t="s">
        <v>42</v>
      </c>
      <c r="AD10" t="s">
        <v>43</v>
      </c>
    </row>
    <row r="11" spans="2:30" x14ac:dyDescent="0.25">
      <c r="Q11" t="s">
        <v>75</v>
      </c>
      <c r="R11" t="s">
        <v>76</v>
      </c>
      <c r="S11">
        <v>0</v>
      </c>
      <c r="T11" t="s">
        <v>77</v>
      </c>
      <c r="V11" t="s">
        <v>136</v>
      </c>
      <c r="W11" t="s">
        <v>76</v>
      </c>
      <c r="X11">
        <v>7.3340416603930342E-2</v>
      </c>
      <c r="Y11" t="s">
        <v>77</v>
      </c>
      <c r="AA11" t="s">
        <v>156</v>
      </c>
      <c r="AB11" t="s">
        <v>76</v>
      </c>
      <c r="AC11">
        <v>7.2420519166675579E-2</v>
      </c>
      <c r="AD11" t="s">
        <v>77</v>
      </c>
    </row>
    <row r="12" spans="2:30" x14ac:dyDescent="0.25">
      <c r="Q12" t="s">
        <v>75</v>
      </c>
      <c r="R12" t="s">
        <v>78</v>
      </c>
      <c r="S12">
        <v>0</v>
      </c>
      <c r="T12" t="s">
        <v>77</v>
      </c>
      <c r="V12" t="s">
        <v>136</v>
      </c>
      <c r="W12" t="s">
        <v>78</v>
      </c>
      <c r="X12">
        <v>2.9590015476097055E-2</v>
      </c>
      <c r="Y12" t="s">
        <v>77</v>
      </c>
      <c r="AA12" t="s">
        <v>156</v>
      </c>
      <c r="AB12" t="s">
        <v>78</v>
      </c>
      <c r="AC12">
        <v>2.8580365728521941E-2</v>
      </c>
      <c r="AD12" t="s">
        <v>77</v>
      </c>
    </row>
    <row r="13" spans="2:30" x14ac:dyDescent="0.25">
      <c r="Q13" t="s">
        <v>75</v>
      </c>
      <c r="R13" t="s">
        <v>79</v>
      </c>
      <c r="S13">
        <v>2.886377869921911E-4</v>
      </c>
      <c r="T13" t="s">
        <v>77</v>
      </c>
      <c r="V13" t="s">
        <v>136</v>
      </c>
      <c r="W13" t="s">
        <v>79</v>
      </c>
      <c r="X13">
        <v>2.9912304147469607E-2</v>
      </c>
      <c r="Y13" t="s">
        <v>77</v>
      </c>
      <c r="AA13" t="s">
        <v>156</v>
      </c>
      <c r="AB13" t="s">
        <v>79</v>
      </c>
      <c r="AC13">
        <v>2.8887189596154932E-2</v>
      </c>
      <c r="AD13" t="s">
        <v>77</v>
      </c>
    </row>
    <row r="14" spans="2:30" x14ac:dyDescent="0.25">
      <c r="Q14" t="s">
        <v>75</v>
      </c>
      <c r="R14" t="s">
        <v>80</v>
      </c>
      <c r="S14">
        <v>1.3964006149552179E-2</v>
      </c>
      <c r="T14" t="s">
        <v>77</v>
      </c>
      <c r="V14" t="s">
        <v>136</v>
      </c>
      <c r="W14" t="s">
        <v>80</v>
      </c>
      <c r="X14">
        <v>2.9207733821881913E-2</v>
      </c>
      <c r="Y14" t="s">
        <v>77</v>
      </c>
      <c r="AA14" t="s">
        <v>156</v>
      </c>
      <c r="AB14" t="s">
        <v>80</v>
      </c>
      <c r="AC14">
        <v>2.8845854852309512E-2</v>
      </c>
      <c r="AD14" t="s">
        <v>77</v>
      </c>
    </row>
    <row r="15" spans="2:30" x14ac:dyDescent="0.25">
      <c r="Q15" t="s">
        <v>75</v>
      </c>
      <c r="R15" t="s">
        <v>81</v>
      </c>
      <c r="S15">
        <v>2.5859519829823274E-2</v>
      </c>
      <c r="T15" t="s">
        <v>77</v>
      </c>
      <c r="V15" t="s">
        <v>136</v>
      </c>
      <c r="W15" t="s">
        <v>81</v>
      </c>
      <c r="X15">
        <v>2.6054901884967369E-2</v>
      </c>
      <c r="Y15" t="s">
        <v>77</v>
      </c>
      <c r="AA15" t="s">
        <v>156</v>
      </c>
      <c r="AB15" t="s">
        <v>81</v>
      </c>
      <c r="AC15">
        <v>2.659033088369463E-2</v>
      </c>
      <c r="AD15" t="s">
        <v>77</v>
      </c>
    </row>
    <row r="16" spans="2:30" x14ac:dyDescent="0.25">
      <c r="Q16" t="s">
        <v>75</v>
      </c>
      <c r="R16" t="s">
        <v>82</v>
      </c>
      <c r="S16">
        <v>2.5100411382786063E-2</v>
      </c>
      <c r="T16" t="s">
        <v>77</v>
      </c>
      <c r="V16" t="s">
        <v>136</v>
      </c>
      <c r="W16" t="s">
        <v>82</v>
      </c>
      <c r="X16">
        <v>2.5609988927612494E-2</v>
      </c>
      <c r="Y16" t="s">
        <v>77</v>
      </c>
      <c r="AA16" t="s">
        <v>156</v>
      </c>
      <c r="AB16" t="s">
        <v>82</v>
      </c>
      <c r="AC16">
        <v>2.6659948216528978E-2</v>
      </c>
      <c r="AD16" t="s">
        <v>77</v>
      </c>
    </row>
    <row r="17" spans="17:30" x14ac:dyDescent="0.25">
      <c r="Q17" t="s">
        <v>75</v>
      </c>
      <c r="R17" t="s">
        <v>83</v>
      </c>
      <c r="S17">
        <v>1.4300935498954828E-2</v>
      </c>
      <c r="T17" t="s">
        <v>77</v>
      </c>
      <c r="V17" t="s">
        <v>136</v>
      </c>
      <c r="W17" t="s">
        <v>83</v>
      </c>
      <c r="X17">
        <v>2.7156216779437241E-2</v>
      </c>
      <c r="Y17" t="s">
        <v>77</v>
      </c>
      <c r="AA17" t="s">
        <v>156</v>
      </c>
      <c r="AB17" t="s">
        <v>83</v>
      </c>
      <c r="AC17">
        <v>2.7688657004920614E-2</v>
      </c>
      <c r="AD17" t="s">
        <v>77</v>
      </c>
    </row>
    <row r="18" spans="17:30" x14ac:dyDescent="0.25">
      <c r="Q18" t="s">
        <v>75</v>
      </c>
      <c r="R18" t="s">
        <v>84</v>
      </c>
      <c r="S18">
        <v>1.3737020741010923E-3</v>
      </c>
      <c r="T18" t="s">
        <v>77</v>
      </c>
      <c r="V18" t="s">
        <v>136</v>
      </c>
      <c r="W18" t="s">
        <v>84</v>
      </c>
      <c r="X18">
        <v>3.0097594398266342E-2</v>
      </c>
      <c r="Y18" t="s">
        <v>77</v>
      </c>
      <c r="AA18" t="s">
        <v>156</v>
      </c>
      <c r="AB18" t="s">
        <v>84</v>
      </c>
      <c r="AC18">
        <v>2.9324137760378774E-2</v>
      </c>
      <c r="AD18" t="s">
        <v>77</v>
      </c>
    </row>
    <row r="19" spans="17:30" x14ac:dyDescent="0.25">
      <c r="Q19" t="s">
        <v>75</v>
      </c>
      <c r="R19" t="s">
        <v>85</v>
      </c>
      <c r="S19">
        <v>0</v>
      </c>
      <c r="T19" t="s">
        <v>77</v>
      </c>
      <c r="V19" t="s">
        <v>136</v>
      </c>
      <c r="W19" t="s">
        <v>85</v>
      </c>
      <c r="X19">
        <v>3.1396540678400593E-2</v>
      </c>
      <c r="Y19" t="s">
        <v>77</v>
      </c>
      <c r="AA19" t="s">
        <v>156</v>
      </c>
      <c r="AB19" t="s">
        <v>85</v>
      </c>
      <c r="AC19">
        <v>2.9965092439059083E-2</v>
      </c>
      <c r="AD19" t="s">
        <v>77</v>
      </c>
    </row>
    <row r="20" spans="17:30" x14ac:dyDescent="0.25">
      <c r="Q20" t="s">
        <v>75</v>
      </c>
      <c r="R20" t="s">
        <v>86</v>
      </c>
      <c r="S20">
        <v>0</v>
      </c>
      <c r="T20" t="s">
        <v>77</v>
      </c>
      <c r="V20" t="s">
        <v>136</v>
      </c>
      <c r="W20" t="s">
        <v>86</v>
      </c>
      <c r="X20">
        <v>4.6222368814480191E-2</v>
      </c>
      <c r="Y20" t="s">
        <v>77</v>
      </c>
      <c r="AA20" t="s">
        <v>156</v>
      </c>
      <c r="AB20" t="s">
        <v>86</v>
      </c>
      <c r="AC20">
        <v>4.48830018394627E-2</v>
      </c>
      <c r="AD20" t="s">
        <v>77</v>
      </c>
    </row>
    <row r="21" spans="17:30" x14ac:dyDescent="0.25">
      <c r="Q21" t="s">
        <v>75</v>
      </c>
      <c r="R21" t="s">
        <v>87</v>
      </c>
      <c r="S21">
        <v>0</v>
      </c>
      <c r="T21" t="s">
        <v>77</v>
      </c>
      <c r="V21" t="s">
        <v>136</v>
      </c>
      <c r="W21" t="s">
        <v>87</v>
      </c>
      <c r="X21">
        <v>6.3210355305878971E-2</v>
      </c>
      <c r="Y21" t="s">
        <v>77</v>
      </c>
      <c r="AA21" t="s">
        <v>156</v>
      </c>
      <c r="AB21" t="s">
        <v>87</v>
      </c>
      <c r="AC21">
        <v>5.3403727939289589E-2</v>
      </c>
      <c r="AD21" t="s">
        <v>77</v>
      </c>
    </row>
    <row r="22" spans="17:30" x14ac:dyDescent="0.25">
      <c r="Q22" t="s">
        <v>75</v>
      </c>
      <c r="R22" t="s">
        <v>88</v>
      </c>
      <c r="S22">
        <v>7.6545389585987505E-3</v>
      </c>
      <c r="T22" t="s">
        <v>77</v>
      </c>
      <c r="V22" t="s">
        <v>136</v>
      </c>
      <c r="W22" t="s">
        <v>88</v>
      </c>
      <c r="X22">
        <v>2.3840869414005286E-2</v>
      </c>
      <c r="Y22" t="s">
        <v>77</v>
      </c>
      <c r="AA22" t="s">
        <v>156</v>
      </c>
      <c r="AB22" t="s">
        <v>88</v>
      </c>
      <c r="AC22">
        <v>2.0872847643403553E-2</v>
      </c>
      <c r="AD22" t="s">
        <v>77</v>
      </c>
    </row>
    <row r="23" spans="17:30" x14ac:dyDescent="0.25">
      <c r="Q23" t="s">
        <v>75</v>
      </c>
      <c r="R23" t="s">
        <v>89</v>
      </c>
      <c r="S23">
        <v>3.6460984822933869E-2</v>
      </c>
      <c r="T23" t="s">
        <v>77</v>
      </c>
      <c r="V23" t="s">
        <v>136</v>
      </c>
      <c r="W23" t="s">
        <v>89</v>
      </c>
      <c r="X23">
        <v>1.9979279092955361E-2</v>
      </c>
      <c r="Y23" t="s">
        <v>77</v>
      </c>
      <c r="AA23" t="s">
        <v>156</v>
      </c>
      <c r="AB23" t="s">
        <v>89</v>
      </c>
      <c r="AC23">
        <v>1.8530630999986596E-2</v>
      </c>
      <c r="AD23" t="s">
        <v>77</v>
      </c>
    </row>
    <row r="24" spans="17:30" x14ac:dyDescent="0.25">
      <c r="Q24" t="s">
        <v>75</v>
      </c>
      <c r="R24" t="s">
        <v>90</v>
      </c>
      <c r="S24">
        <v>6.3104167195572575E-2</v>
      </c>
      <c r="T24" t="s">
        <v>77</v>
      </c>
      <c r="V24" t="s">
        <v>136</v>
      </c>
      <c r="W24" t="s">
        <v>90</v>
      </c>
      <c r="X24">
        <v>1.9073048783961429E-2</v>
      </c>
      <c r="Y24" t="s">
        <v>77</v>
      </c>
      <c r="AA24" t="s">
        <v>156</v>
      </c>
      <c r="AB24" t="s">
        <v>90</v>
      </c>
      <c r="AC24">
        <v>1.7512822709245306E-2</v>
      </c>
      <c r="AD24" t="s">
        <v>77</v>
      </c>
    </row>
    <row r="25" spans="17:30" x14ac:dyDescent="0.25">
      <c r="Q25" t="s">
        <v>75</v>
      </c>
      <c r="R25" t="s">
        <v>91</v>
      </c>
      <c r="S25">
        <v>6.8596944671540774E-2</v>
      </c>
      <c r="T25" t="s">
        <v>77</v>
      </c>
      <c r="V25" t="s">
        <v>136</v>
      </c>
      <c r="W25" t="s">
        <v>91</v>
      </c>
      <c r="X25">
        <v>1.6951178364756309E-2</v>
      </c>
      <c r="Y25" t="s">
        <v>77</v>
      </c>
      <c r="AA25" t="s">
        <v>156</v>
      </c>
      <c r="AB25" t="s">
        <v>91</v>
      </c>
      <c r="AC25">
        <v>1.6128338845401134E-2</v>
      </c>
      <c r="AD25" t="s">
        <v>77</v>
      </c>
    </row>
    <row r="26" spans="17:30" x14ac:dyDescent="0.25">
      <c r="Q26" t="s">
        <v>75</v>
      </c>
      <c r="R26" t="s">
        <v>92</v>
      </c>
      <c r="S26">
        <v>6.3220869170970709E-2</v>
      </c>
      <c r="T26" t="s">
        <v>77</v>
      </c>
      <c r="V26" t="s">
        <v>136</v>
      </c>
      <c r="W26" t="s">
        <v>92</v>
      </c>
      <c r="X26">
        <v>1.8805289819021416E-2</v>
      </c>
      <c r="Y26" t="s">
        <v>77</v>
      </c>
      <c r="AA26" t="s">
        <v>156</v>
      </c>
      <c r="AB26" t="s">
        <v>92</v>
      </c>
      <c r="AC26">
        <v>1.7493820078679331E-2</v>
      </c>
      <c r="AD26" t="s">
        <v>77</v>
      </c>
    </row>
    <row r="27" spans="17:30" x14ac:dyDescent="0.25">
      <c r="Q27" t="s">
        <v>75</v>
      </c>
      <c r="R27" t="s">
        <v>93</v>
      </c>
      <c r="S27">
        <v>5.2395286668517289E-2</v>
      </c>
      <c r="T27" t="s">
        <v>77</v>
      </c>
      <c r="V27" t="s">
        <v>136</v>
      </c>
      <c r="W27" t="s">
        <v>93</v>
      </c>
      <c r="X27">
        <v>1.8988385275507551E-2</v>
      </c>
      <c r="Y27" t="s">
        <v>77</v>
      </c>
      <c r="AA27" t="s">
        <v>156</v>
      </c>
      <c r="AB27" t="s">
        <v>93</v>
      </c>
      <c r="AC27">
        <v>1.8246071049391761E-2</v>
      </c>
      <c r="AD27" t="s">
        <v>77</v>
      </c>
    </row>
    <row r="28" spans="17:30" x14ac:dyDescent="0.25">
      <c r="Q28" t="s">
        <v>75</v>
      </c>
      <c r="R28" t="s">
        <v>94</v>
      </c>
      <c r="S28">
        <v>3.0623901116240377E-2</v>
      </c>
      <c r="T28" t="s">
        <v>77</v>
      </c>
      <c r="V28" t="s">
        <v>136</v>
      </c>
      <c r="W28" t="s">
        <v>94</v>
      </c>
      <c r="X28">
        <v>1.996919234582064E-2</v>
      </c>
      <c r="Y28" t="s">
        <v>77</v>
      </c>
      <c r="AA28" t="s">
        <v>156</v>
      </c>
      <c r="AB28" t="s">
        <v>94</v>
      </c>
      <c r="AC28">
        <v>1.9408842504092538E-2</v>
      </c>
      <c r="AD28" t="s">
        <v>77</v>
      </c>
    </row>
    <row r="29" spans="17:30" x14ac:dyDescent="0.25">
      <c r="Q29" t="s">
        <v>75</v>
      </c>
      <c r="R29" t="s">
        <v>95</v>
      </c>
      <c r="S29">
        <v>5.4953065275023171E-3</v>
      </c>
      <c r="T29" t="s">
        <v>77</v>
      </c>
      <c r="V29" t="s">
        <v>136</v>
      </c>
      <c r="W29" t="s">
        <v>95</v>
      </c>
      <c r="X29">
        <v>2.3516525540837406E-2</v>
      </c>
      <c r="Y29" t="s">
        <v>77</v>
      </c>
      <c r="AA29" t="s">
        <v>156</v>
      </c>
      <c r="AB29" t="s">
        <v>95</v>
      </c>
      <c r="AC29">
        <v>2.0994028345737468E-2</v>
      </c>
      <c r="AD29" t="s">
        <v>77</v>
      </c>
    </row>
    <row r="30" spans="17:30" x14ac:dyDescent="0.25">
      <c r="Q30" t="s">
        <v>75</v>
      </c>
      <c r="R30" t="s">
        <v>96</v>
      </c>
      <c r="S30">
        <v>0</v>
      </c>
      <c r="T30" t="s">
        <v>77</v>
      </c>
      <c r="V30" t="s">
        <v>136</v>
      </c>
      <c r="W30" t="s">
        <v>96</v>
      </c>
      <c r="X30">
        <v>3.8211061115968704E-2</v>
      </c>
      <c r="Y30" t="s">
        <v>77</v>
      </c>
      <c r="AA30" t="s">
        <v>156</v>
      </c>
      <c r="AB30" t="s">
        <v>96</v>
      </c>
      <c r="AC30">
        <v>3.2868846104417489E-2</v>
      </c>
      <c r="AD30" t="s">
        <v>77</v>
      </c>
    </row>
    <row r="31" spans="17:30" x14ac:dyDescent="0.25">
      <c r="Q31" t="s">
        <v>75</v>
      </c>
      <c r="R31" t="s">
        <v>97</v>
      </c>
      <c r="S31">
        <v>0</v>
      </c>
      <c r="T31" t="s">
        <v>77</v>
      </c>
      <c r="V31" t="s">
        <v>136</v>
      </c>
      <c r="W31" t="s">
        <v>97</v>
      </c>
      <c r="X31">
        <v>3.3284697463380725E-2</v>
      </c>
      <c r="Y31" t="s">
        <v>77</v>
      </c>
      <c r="AA31" t="s">
        <v>156</v>
      </c>
      <c r="AB31" t="s">
        <v>97</v>
      </c>
      <c r="AC31">
        <v>3.0681132809236664E-2</v>
      </c>
      <c r="AD31" t="s">
        <v>77</v>
      </c>
    </row>
    <row r="32" spans="17:30" x14ac:dyDescent="0.25">
      <c r="Q32" t="s">
        <v>75</v>
      </c>
      <c r="R32" t="s">
        <v>98</v>
      </c>
      <c r="S32">
        <v>1.7026379559097703E-2</v>
      </c>
      <c r="T32" t="s">
        <v>77</v>
      </c>
      <c r="V32" t="s">
        <v>136</v>
      </c>
      <c r="W32" t="s">
        <v>98</v>
      </c>
      <c r="X32">
        <v>1.0272463517254318E-2</v>
      </c>
      <c r="Y32" t="s">
        <v>77</v>
      </c>
      <c r="AA32" t="s">
        <v>156</v>
      </c>
      <c r="AB32" t="s">
        <v>98</v>
      </c>
      <c r="AC32">
        <v>1.173836820605601E-2</v>
      </c>
      <c r="AD32" t="s">
        <v>77</v>
      </c>
    </row>
    <row r="33" spans="17:30" x14ac:dyDescent="0.25">
      <c r="Q33" t="s">
        <v>75</v>
      </c>
      <c r="R33" t="s">
        <v>99</v>
      </c>
      <c r="S33">
        <v>5.2569739659942556E-2</v>
      </c>
      <c r="T33" t="s">
        <v>77</v>
      </c>
      <c r="V33" t="s">
        <v>136</v>
      </c>
      <c r="W33" t="s">
        <v>99</v>
      </c>
      <c r="X33">
        <v>7.5599224041111787E-3</v>
      </c>
      <c r="Y33" t="s">
        <v>77</v>
      </c>
      <c r="AA33" t="s">
        <v>156</v>
      </c>
      <c r="AB33" t="s">
        <v>99</v>
      </c>
      <c r="AC33">
        <v>1.0939188203530084E-2</v>
      </c>
      <c r="AD33" t="s">
        <v>77</v>
      </c>
    </row>
    <row r="34" spans="17:30" x14ac:dyDescent="0.25">
      <c r="Q34" t="s">
        <v>75</v>
      </c>
      <c r="R34" t="s">
        <v>100</v>
      </c>
      <c r="S34">
        <v>7.5572284153632124E-2</v>
      </c>
      <c r="T34" t="s">
        <v>77</v>
      </c>
      <c r="V34" t="s">
        <v>136</v>
      </c>
      <c r="W34" t="s">
        <v>100</v>
      </c>
      <c r="X34">
        <v>8.8926434392727193E-3</v>
      </c>
      <c r="Y34" t="s">
        <v>77</v>
      </c>
      <c r="AA34" t="s">
        <v>156</v>
      </c>
      <c r="AB34" t="s">
        <v>100</v>
      </c>
      <c r="AC34">
        <v>1.1463264063045745E-2</v>
      </c>
      <c r="AD34" t="s">
        <v>77</v>
      </c>
    </row>
    <row r="35" spans="17:30" x14ac:dyDescent="0.25">
      <c r="Q35" t="s">
        <v>75</v>
      </c>
      <c r="R35" t="s">
        <v>101</v>
      </c>
      <c r="S35">
        <v>7.8442391050398283E-2</v>
      </c>
      <c r="T35" t="s">
        <v>77</v>
      </c>
      <c r="V35" t="s">
        <v>136</v>
      </c>
      <c r="W35" t="s">
        <v>101</v>
      </c>
      <c r="X35">
        <v>7.5709262980677488E-3</v>
      </c>
      <c r="Y35" t="s">
        <v>77</v>
      </c>
      <c r="AA35" t="s">
        <v>156</v>
      </c>
      <c r="AB35" t="s">
        <v>101</v>
      </c>
      <c r="AC35">
        <v>1.0354728900061859E-2</v>
      </c>
      <c r="AD35" t="s">
        <v>77</v>
      </c>
    </row>
    <row r="36" spans="17:30" x14ac:dyDescent="0.25">
      <c r="Q36" t="s">
        <v>75</v>
      </c>
      <c r="R36" t="s">
        <v>102</v>
      </c>
      <c r="S36">
        <v>7.3356498474196646E-2</v>
      </c>
      <c r="T36" t="s">
        <v>77</v>
      </c>
      <c r="V36" t="s">
        <v>136</v>
      </c>
      <c r="W36" t="s">
        <v>102</v>
      </c>
      <c r="X36">
        <v>9.8889870175538491E-3</v>
      </c>
      <c r="Y36" t="s">
        <v>77</v>
      </c>
      <c r="AA36" t="s">
        <v>156</v>
      </c>
      <c r="AB36" t="s">
        <v>102</v>
      </c>
      <c r="AC36">
        <v>1.2844768568835605E-2</v>
      </c>
      <c r="AD36" t="s">
        <v>77</v>
      </c>
    </row>
    <row r="37" spans="17:30" x14ac:dyDescent="0.25">
      <c r="Q37" t="s">
        <v>75</v>
      </c>
      <c r="R37" t="s">
        <v>103</v>
      </c>
      <c r="S37">
        <v>6.5144100165966695E-2</v>
      </c>
      <c r="T37" t="s">
        <v>77</v>
      </c>
      <c r="V37" t="s">
        <v>136</v>
      </c>
      <c r="W37" t="s">
        <v>103</v>
      </c>
      <c r="X37">
        <v>1.028179847356446E-2</v>
      </c>
      <c r="Y37" t="s">
        <v>77</v>
      </c>
      <c r="AA37" t="s">
        <v>156</v>
      </c>
      <c r="AB37" t="s">
        <v>103</v>
      </c>
      <c r="AC37">
        <v>1.4117844829728988E-2</v>
      </c>
      <c r="AD37" t="s">
        <v>77</v>
      </c>
    </row>
    <row r="38" spans="17:30" x14ac:dyDescent="0.25">
      <c r="Q38" t="s">
        <v>75</v>
      </c>
      <c r="R38" t="s">
        <v>104</v>
      </c>
      <c r="S38">
        <v>4.593729965054924E-2</v>
      </c>
      <c r="T38" t="s">
        <v>77</v>
      </c>
      <c r="V38" t="s">
        <v>136</v>
      </c>
      <c r="W38" t="s">
        <v>104</v>
      </c>
      <c r="X38">
        <v>9.7400794801665615E-3</v>
      </c>
      <c r="Y38" t="s">
        <v>77</v>
      </c>
      <c r="AA38" t="s">
        <v>156</v>
      </c>
      <c r="AB38" t="s">
        <v>104</v>
      </c>
      <c r="AC38">
        <v>1.3206964154119595E-2</v>
      </c>
      <c r="AD38" t="s">
        <v>77</v>
      </c>
    </row>
    <row r="39" spans="17:30" x14ac:dyDescent="0.25">
      <c r="Q39" t="s">
        <v>75</v>
      </c>
      <c r="R39" t="s">
        <v>105</v>
      </c>
      <c r="S39">
        <v>1.6947278536606786E-2</v>
      </c>
      <c r="T39" t="s">
        <v>77</v>
      </c>
      <c r="V39" t="s">
        <v>136</v>
      </c>
      <c r="W39" t="s">
        <v>105</v>
      </c>
      <c r="X39">
        <v>1.1074773655906646E-2</v>
      </c>
      <c r="Y39" t="s">
        <v>77</v>
      </c>
      <c r="AA39" t="s">
        <v>156</v>
      </c>
      <c r="AB39" t="s">
        <v>105</v>
      </c>
      <c r="AC39">
        <v>1.2617867641209224E-2</v>
      </c>
      <c r="AD39" t="s">
        <v>77</v>
      </c>
    </row>
    <row r="40" spans="17:30" x14ac:dyDescent="0.25">
      <c r="Q40" t="s">
        <v>75</v>
      </c>
      <c r="R40" t="s">
        <v>106</v>
      </c>
      <c r="S40">
        <v>0</v>
      </c>
      <c r="T40" t="s">
        <v>77</v>
      </c>
      <c r="V40" t="s">
        <v>136</v>
      </c>
      <c r="W40" t="s">
        <v>106</v>
      </c>
      <c r="X40">
        <v>2.1323425159387562E-2</v>
      </c>
      <c r="Y40" t="s">
        <v>77</v>
      </c>
      <c r="AA40" t="s">
        <v>156</v>
      </c>
      <c r="AB40" t="s">
        <v>106</v>
      </c>
      <c r="AC40">
        <v>1.8804816700233262E-2</v>
      </c>
      <c r="AD40" t="s">
        <v>77</v>
      </c>
    </row>
    <row r="41" spans="17:30" x14ac:dyDescent="0.25">
      <c r="Q41" t="s">
        <v>75</v>
      </c>
      <c r="R41" t="s">
        <v>107</v>
      </c>
      <c r="S41">
        <v>0</v>
      </c>
      <c r="T41" t="s">
        <v>77</v>
      </c>
      <c r="V41" t="s">
        <v>136</v>
      </c>
      <c r="W41" t="s">
        <v>107</v>
      </c>
      <c r="X41">
        <v>5.5967656079354708E-2</v>
      </c>
      <c r="Y41" t="s">
        <v>77</v>
      </c>
      <c r="AA41" t="s">
        <v>156</v>
      </c>
      <c r="AB41" t="s">
        <v>107</v>
      </c>
      <c r="AC41">
        <v>5.6823209320871933E-2</v>
      </c>
      <c r="AD41" t="s">
        <v>77</v>
      </c>
    </row>
    <row r="42" spans="17:30" x14ac:dyDescent="0.25">
      <c r="Q42" t="s">
        <v>75</v>
      </c>
      <c r="R42" t="s">
        <v>108</v>
      </c>
      <c r="S42">
        <v>1.6957522872564938E-4</v>
      </c>
      <c r="T42" t="s">
        <v>77</v>
      </c>
      <c r="V42" t="s">
        <v>136</v>
      </c>
      <c r="W42" t="s">
        <v>108</v>
      </c>
      <c r="X42">
        <v>2.129764597543183E-2</v>
      </c>
      <c r="Y42" t="s">
        <v>77</v>
      </c>
      <c r="AA42" t="s">
        <v>156</v>
      </c>
      <c r="AB42" t="s">
        <v>108</v>
      </c>
      <c r="AC42">
        <v>2.2221526831787963E-2</v>
      </c>
      <c r="AD42" t="s">
        <v>77</v>
      </c>
    </row>
    <row r="43" spans="17:30" x14ac:dyDescent="0.25">
      <c r="Q43" t="s">
        <v>75</v>
      </c>
      <c r="R43" t="s">
        <v>109</v>
      </c>
      <c r="S43">
        <v>1.3489940127069971E-2</v>
      </c>
      <c r="T43" t="s">
        <v>77</v>
      </c>
      <c r="V43" t="s">
        <v>136</v>
      </c>
      <c r="W43" t="s">
        <v>109</v>
      </c>
      <c r="X43">
        <v>2.0543519045797667E-2</v>
      </c>
      <c r="Y43" t="s">
        <v>77</v>
      </c>
      <c r="AA43" t="s">
        <v>156</v>
      </c>
      <c r="AB43" t="s">
        <v>109</v>
      </c>
      <c r="AC43">
        <v>2.1673886877655844E-2</v>
      </c>
      <c r="AD43" t="s">
        <v>77</v>
      </c>
    </row>
    <row r="44" spans="17:30" x14ac:dyDescent="0.25">
      <c r="Q44" t="s">
        <v>75</v>
      </c>
      <c r="R44" t="s">
        <v>110</v>
      </c>
      <c r="S44">
        <v>3.257852780359758E-2</v>
      </c>
      <c r="T44" t="s">
        <v>77</v>
      </c>
      <c r="V44" t="s">
        <v>136</v>
      </c>
      <c r="W44" t="s">
        <v>110</v>
      </c>
      <c r="X44">
        <v>1.9120474580169668E-2</v>
      </c>
      <c r="Y44" t="s">
        <v>77</v>
      </c>
      <c r="AA44" t="s">
        <v>156</v>
      </c>
      <c r="AB44" t="s">
        <v>110</v>
      </c>
      <c r="AC44">
        <v>2.1526145875504089E-2</v>
      </c>
      <c r="AD44" t="s">
        <v>77</v>
      </c>
    </row>
    <row r="45" spans="17:30" x14ac:dyDescent="0.25">
      <c r="Q45" t="s">
        <v>75</v>
      </c>
      <c r="R45" t="s">
        <v>111</v>
      </c>
      <c r="S45">
        <v>3.9666377429780034E-2</v>
      </c>
      <c r="T45" t="s">
        <v>77</v>
      </c>
      <c r="V45" t="s">
        <v>136</v>
      </c>
      <c r="W45" t="s">
        <v>111</v>
      </c>
      <c r="X45">
        <v>1.7690989852608835E-2</v>
      </c>
      <c r="Y45" t="s">
        <v>77</v>
      </c>
      <c r="AA45" t="s">
        <v>156</v>
      </c>
      <c r="AB45" t="s">
        <v>111</v>
      </c>
      <c r="AC45">
        <v>2.1098265063733246E-2</v>
      </c>
      <c r="AD45" t="s">
        <v>77</v>
      </c>
    </row>
    <row r="46" spans="17:30" x14ac:dyDescent="0.25">
      <c r="Q46" t="s">
        <v>75</v>
      </c>
      <c r="R46" t="s">
        <v>112</v>
      </c>
      <c r="S46">
        <v>4.0448856219507945E-2</v>
      </c>
      <c r="T46" t="s">
        <v>77</v>
      </c>
      <c r="V46" t="s">
        <v>136</v>
      </c>
      <c r="W46" t="s">
        <v>112</v>
      </c>
      <c r="X46">
        <v>1.8620108715096492E-2</v>
      </c>
      <c r="Y46" t="s">
        <v>77</v>
      </c>
      <c r="AA46" t="s">
        <v>156</v>
      </c>
      <c r="AB46" t="s">
        <v>112</v>
      </c>
      <c r="AC46">
        <v>2.1456618189510682E-2</v>
      </c>
      <c r="AD46" t="s">
        <v>77</v>
      </c>
    </row>
    <row r="47" spans="17:30" x14ac:dyDescent="0.25">
      <c r="Q47" t="s">
        <v>75</v>
      </c>
      <c r="R47" t="s">
        <v>113</v>
      </c>
      <c r="S47">
        <v>3.0696196448480706E-2</v>
      </c>
      <c r="T47" t="s">
        <v>77</v>
      </c>
      <c r="V47" t="s">
        <v>136</v>
      </c>
      <c r="W47" t="s">
        <v>113</v>
      </c>
      <c r="X47">
        <v>1.9563624033809467E-2</v>
      </c>
      <c r="Y47" t="s">
        <v>77</v>
      </c>
      <c r="AA47" t="s">
        <v>156</v>
      </c>
      <c r="AB47" t="s">
        <v>113</v>
      </c>
      <c r="AC47">
        <v>2.2867955920941849E-2</v>
      </c>
      <c r="AD47" t="s">
        <v>77</v>
      </c>
    </row>
    <row r="48" spans="17:30" x14ac:dyDescent="0.25">
      <c r="Q48" t="s">
        <v>75</v>
      </c>
      <c r="R48" t="s">
        <v>114</v>
      </c>
      <c r="S48">
        <v>9.4528833397579549E-3</v>
      </c>
      <c r="T48" t="s">
        <v>77</v>
      </c>
      <c r="V48" t="s">
        <v>136</v>
      </c>
      <c r="W48" t="s">
        <v>114</v>
      </c>
      <c r="X48">
        <v>2.2619927568028726E-2</v>
      </c>
      <c r="Y48" t="s">
        <v>77</v>
      </c>
      <c r="AA48" t="s">
        <v>156</v>
      </c>
      <c r="AB48" t="s">
        <v>114</v>
      </c>
      <c r="AC48">
        <v>2.4211348988096439E-2</v>
      </c>
      <c r="AD48" t="s">
        <v>77</v>
      </c>
    </row>
    <row r="49" spans="17:30" x14ac:dyDescent="0.25">
      <c r="Q49" t="s">
        <v>75</v>
      </c>
      <c r="R49" t="s">
        <v>115</v>
      </c>
      <c r="S49">
        <v>6.2460298604412919E-5</v>
      </c>
      <c r="T49" t="s">
        <v>77</v>
      </c>
      <c r="V49" t="s">
        <v>136</v>
      </c>
      <c r="W49" t="s">
        <v>115</v>
      </c>
      <c r="X49">
        <v>2.5162562590235533E-2</v>
      </c>
      <c r="Y49" t="s">
        <v>77</v>
      </c>
      <c r="AA49" t="s">
        <v>156</v>
      </c>
      <c r="AB49" t="s">
        <v>115</v>
      </c>
      <c r="AC49">
        <v>2.4881599674035415E-2</v>
      </c>
      <c r="AD49" t="s">
        <v>77</v>
      </c>
    </row>
    <row r="50" spans="17:30" x14ac:dyDescent="0.25">
      <c r="Q50" t="s">
        <v>75</v>
      </c>
      <c r="R50" t="s">
        <v>116</v>
      </c>
      <c r="S50">
        <v>0</v>
      </c>
      <c r="T50" t="s">
        <v>77</v>
      </c>
      <c r="V50" t="s">
        <v>136</v>
      </c>
      <c r="W50" t="s">
        <v>116</v>
      </c>
      <c r="X50">
        <v>3.8390508059546864E-2</v>
      </c>
      <c r="Y50" t="s">
        <v>77</v>
      </c>
      <c r="AA50" t="s">
        <v>156</v>
      </c>
      <c r="AB50" t="s">
        <v>116</v>
      </c>
      <c r="AC50">
        <v>3.716542547445803E-2</v>
      </c>
      <c r="AD50" t="s">
        <v>77</v>
      </c>
    </row>
    <row r="51" spans="17:30" x14ac:dyDescent="0.25">
      <c r="Q51" t="s">
        <v>117</v>
      </c>
      <c r="R51" t="s">
        <v>76</v>
      </c>
      <c r="S51">
        <v>0</v>
      </c>
      <c r="T51" t="s">
        <v>77</v>
      </c>
      <c r="V51" t="s">
        <v>137</v>
      </c>
      <c r="W51" t="s">
        <v>76</v>
      </c>
      <c r="X51">
        <v>7.4942835629884949E-2</v>
      </c>
      <c r="Y51" t="s">
        <v>77</v>
      </c>
      <c r="AA51" t="s">
        <v>157</v>
      </c>
      <c r="AB51" t="s">
        <v>76</v>
      </c>
      <c r="AC51">
        <v>6.3125616371181803E-2</v>
      </c>
      <c r="AD51" t="s">
        <v>77</v>
      </c>
    </row>
    <row r="52" spans="17:30" x14ac:dyDescent="0.25">
      <c r="Q52" t="s">
        <v>117</v>
      </c>
      <c r="R52" t="s">
        <v>78</v>
      </c>
      <c r="S52">
        <v>0</v>
      </c>
      <c r="T52" t="s">
        <v>77</v>
      </c>
      <c r="V52" t="s">
        <v>137</v>
      </c>
      <c r="W52" t="s">
        <v>78</v>
      </c>
      <c r="X52">
        <v>3.0111860319403196E-2</v>
      </c>
      <c r="Y52" t="s">
        <v>77</v>
      </c>
      <c r="AA52" t="s">
        <v>157</v>
      </c>
      <c r="AB52" t="s">
        <v>78</v>
      </c>
      <c r="AC52">
        <v>2.5124198383820611E-2</v>
      </c>
      <c r="AD52" t="s">
        <v>77</v>
      </c>
    </row>
    <row r="53" spans="17:30" x14ac:dyDescent="0.25">
      <c r="Q53" t="s">
        <v>117</v>
      </c>
      <c r="R53" t="s">
        <v>79</v>
      </c>
      <c r="S53">
        <v>7.7909925145441599E-4</v>
      </c>
      <c r="T53" t="s">
        <v>77</v>
      </c>
      <c r="V53" t="s">
        <v>137</v>
      </c>
      <c r="W53" t="s">
        <v>79</v>
      </c>
      <c r="X53">
        <v>3.0011704752409211E-2</v>
      </c>
      <c r="Y53" t="s">
        <v>77</v>
      </c>
      <c r="AA53" t="s">
        <v>157</v>
      </c>
      <c r="AB53" t="s">
        <v>79</v>
      </c>
      <c r="AC53">
        <v>2.5672933029689437E-2</v>
      </c>
      <c r="AD53" t="s">
        <v>77</v>
      </c>
    </row>
    <row r="54" spans="17:30" x14ac:dyDescent="0.25">
      <c r="Q54" t="s">
        <v>117</v>
      </c>
      <c r="R54" t="s">
        <v>80</v>
      </c>
      <c r="S54">
        <v>1.6280779761012554E-2</v>
      </c>
      <c r="T54" t="s">
        <v>77</v>
      </c>
      <c r="V54" t="s">
        <v>137</v>
      </c>
      <c r="W54" t="s">
        <v>80</v>
      </c>
      <c r="X54">
        <v>2.8533757176165554E-2</v>
      </c>
      <c r="Y54" t="s">
        <v>77</v>
      </c>
      <c r="AA54" t="s">
        <v>157</v>
      </c>
      <c r="AB54" t="s">
        <v>80</v>
      </c>
      <c r="AC54">
        <v>2.6094458683638716E-2</v>
      </c>
      <c r="AD54" t="s">
        <v>77</v>
      </c>
    </row>
    <row r="55" spans="17:30" x14ac:dyDescent="0.25">
      <c r="Q55" t="s">
        <v>117</v>
      </c>
      <c r="R55" t="s">
        <v>81</v>
      </c>
      <c r="S55">
        <v>2.8864878921201265E-2</v>
      </c>
      <c r="T55" t="s">
        <v>77</v>
      </c>
      <c r="V55" t="s">
        <v>137</v>
      </c>
      <c r="W55" t="s">
        <v>81</v>
      </c>
      <c r="X55">
        <v>2.6134218344823587E-2</v>
      </c>
      <c r="Y55" t="s">
        <v>77</v>
      </c>
      <c r="AA55" t="s">
        <v>157</v>
      </c>
      <c r="AB55" t="s">
        <v>81</v>
      </c>
      <c r="AC55">
        <v>2.5310300070932351E-2</v>
      </c>
      <c r="AD55" t="s">
        <v>77</v>
      </c>
    </row>
    <row r="56" spans="17:30" x14ac:dyDescent="0.25">
      <c r="Q56" t="s">
        <v>117</v>
      </c>
      <c r="R56" t="s">
        <v>82</v>
      </c>
      <c r="S56">
        <v>3.0021922128298548E-2</v>
      </c>
      <c r="T56" t="s">
        <v>77</v>
      </c>
      <c r="V56" t="s">
        <v>137</v>
      </c>
      <c r="W56" t="s">
        <v>82</v>
      </c>
      <c r="X56">
        <v>2.6964432953271198E-2</v>
      </c>
      <c r="Y56" t="s">
        <v>77</v>
      </c>
      <c r="AA56" t="s">
        <v>157</v>
      </c>
      <c r="AB56" t="s">
        <v>82</v>
      </c>
      <c r="AC56">
        <v>2.4732687439811107E-2</v>
      </c>
      <c r="AD56" t="s">
        <v>77</v>
      </c>
    </row>
    <row r="57" spans="17:30" x14ac:dyDescent="0.25">
      <c r="Q57" t="s">
        <v>117</v>
      </c>
      <c r="R57" t="s">
        <v>83</v>
      </c>
      <c r="S57">
        <v>1.7555788821299143E-2</v>
      </c>
      <c r="T57" t="s">
        <v>77</v>
      </c>
      <c r="V57" t="s">
        <v>137</v>
      </c>
      <c r="W57" t="s">
        <v>83</v>
      </c>
      <c r="X57">
        <v>2.862776089288932E-2</v>
      </c>
      <c r="Y57" t="s">
        <v>77</v>
      </c>
      <c r="AA57" t="s">
        <v>157</v>
      </c>
      <c r="AB57" t="s">
        <v>83</v>
      </c>
      <c r="AC57">
        <v>2.5573030115872104E-2</v>
      </c>
      <c r="AD57" t="s">
        <v>77</v>
      </c>
    </row>
    <row r="58" spans="17:30" x14ac:dyDescent="0.25">
      <c r="Q58" t="s">
        <v>117</v>
      </c>
      <c r="R58" t="s">
        <v>84</v>
      </c>
      <c r="S58">
        <v>1.4933527399181509E-3</v>
      </c>
      <c r="T58" t="s">
        <v>77</v>
      </c>
      <c r="V58" t="s">
        <v>137</v>
      </c>
      <c r="W58" t="s">
        <v>84</v>
      </c>
      <c r="X58">
        <v>3.1129066132813101E-2</v>
      </c>
      <c r="Y58" t="s">
        <v>77</v>
      </c>
      <c r="AA58" t="s">
        <v>157</v>
      </c>
      <c r="AB58" t="s">
        <v>84</v>
      </c>
      <c r="AC58">
        <v>2.6719459262698739E-2</v>
      </c>
      <c r="AD58" t="s">
        <v>77</v>
      </c>
    </row>
    <row r="59" spans="17:30" x14ac:dyDescent="0.25">
      <c r="Q59" t="s">
        <v>117</v>
      </c>
      <c r="R59" t="s">
        <v>85</v>
      </c>
      <c r="S59">
        <v>0</v>
      </c>
      <c r="T59" t="s">
        <v>77</v>
      </c>
      <c r="V59" t="s">
        <v>137</v>
      </c>
      <c r="W59" t="s">
        <v>85</v>
      </c>
      <c r="X59">
        <v>3.1438995515669359E-2</v>
      </c>
      <c r="Y59" t="s">
        <v>77</v>
      </c>
      <c r="AA59" t="s">
        <v>157</v>
      </c>
      <c r="AB59" t="s">
        <v>85</v>
      </c>
      <c r="AC59">
        <v>2.6834844039164456E-2</v>
      </c>
      <c r="AD59" t="s">
        <v>77</v>
      </c>
    </row>
    <row r="60" spans="17:30" x14ac:dyDescent="0.25">
      <c r="Q60" t="s">
        <v>117</v>
      </c>
      <c r="R60" t="s">
        <v>86</v>
      </c>
      <c r="S60">
        <v>0</v>
      </c>
      <c r="T60" t="s">
        <v>77</v>
      </c>
      <c r="V60" t="s">
        <v>137</v>
      </c>
      <c r="W60" t="s">
        <v>86</v>
      </c>
      <c r="X60">
        <v>4.5821003784882311E-2</v>
      </c>
      <c r="Y60" t="s">
        <v>77</v>
      </c>
      <c r="AA60" t="s">
        <v>157</v>
      </c>
      <c r="AB60" t="s">
        <v>86</v>
      </c>
      <c r="AC60">
        <v>3.9864343505896134E-2</v>
      </c>
      <c r="AD60" t="s">
        <v>77</v>
      </c>
    </row>
    <row r="61" spans="17:30" x14ac:dyDescent="0.25">
      <c r="Q61" t="s">
        <v>117</v>
      </c>
      <c r="R61" t="s">
        <v>87</v>
      </c>
      <c r="S61">
        <v>0</v>
      </c>
      <c r="T61" t="s">
        <v>77</v>
      </c>
      <c r="V61" t="s">
        <v>137</v>
      </c>
      <c r="W61" t="s">
        <v>87</v>
      </c>
      <c r="X61">
        <v>6.0590189170468579E-2</v>
      </c>
      <c r="Y61" t="s">
        <v>77</v>
      </c>
      <c r="AA61" t="s">
        <v>157</v>
      </c>
      <c r="AB61" t="s">
        <v>87</v>
      </c>
      <c r="AC61">
        <v>5.6995474111251256E-2</v>
      </c>
      <c r="AD61" t="s">
        <v>77</v>
      </c>
    </row>
    <row r="62" spans="17:30" x14ac:dyDescent="0.25">
      <c r="Q62" t="s">
        <v>117</v>
      </c>
      <c r="R62" t="s">
        <v>88</v>
      </c>
      <c r="S62">
        <v>8.0873301182116664E-3</v>
      </c>
      <c r="T62" t="s">
        <v>77</v>
      </c>
      <c r="V62" t="s">
        <v>137</v>
      </c>
      <c r="W62" t="s">
        <v>88</v>
      </c>
      <c r="X62">
        <v>2.3049911411991957E-2</v>
      </c>
      <c r="Y62" t="s">
        <v>77</v>
      </c>
      <c r="AA62" t="s">
        <v>157</v>
      </c>
      <c r="AB62" t="s">
        <v>88</v>
      </c>
      <c r="AC62">
        <v>2.2353817909063985E-2</v>
      </c>
      <c r="AD62" t="s">
        <v>77</v>
      </c>
    </row>
    <row r="63" spans="17:30" x14ac:dyDescent="0.25">
      <c r="Q63" t="s">
        <v>117</v>
      </c>
      <c r="R63" t="s">
        <v>89</v>
      </c>
      <c r="S63">
        <v>3.5533726109065258E-2</v>
      </c>
      <c r="T63" t="s">
        <v>77</v>
      </c>
      <c r="V63" t="s">
        <v>137</v>
      </c>
      <c r="W63" t="s">
        <v>89</v>
      </c>
      <c r="X63">
        <v>1.9786255106805387E-2</v>
      </c>
      <c r="Y63" t="s">
        <v>77</v>
      </c>
      <c r="AA63" t="s">
        <v>157</v>
      </c>
      <c r="AB63" t="s">
        <v>89</v>
      </c>
      <c r="AC63">
        <v>2.2141761435379933E-2</v>
      </c>
      <c r="AD63" t="s">
        <v>77</v>
      </c>
    </row>
    <row r="64" spans="17:30" x14ac:dyDescent="0.25">
      <c r="Q64" t="s">
        <v>117</v>
      </c>
      <c r="R64" t="s">
        <v>90</v>
      </c>
      <c r="S64">
        <v>5.8234675613764213E-2</v>
      </c>
      <c r="T64" t="s">
        <v>77</v>
      </c>
      <c r="V64" t="s">
        <v>137</v>
      </c>
      <c r="W64" t="s">
        <v>90</v>
      </c>
      <c r="X64">
        <v>1.8930375055358661E-2</v>
      </c>
      <c r="Y64" t="s">
        <v>77</v>
      </c>
      <c r="AA64" t="s">
        <v>157</v>
      </c>
      <c r="AB64" t="s">
        <v>90</v>
      </c>
      <c r="AC64">
        <v>2.1364046922643463E-2</v>
      </c>
      <c r="AD64" t="s">
        <v>77</v>
      </c>
    </row>
    <row r="65" spans="17:30" x14ac:dyDescent="0.25">
      <c r="Q65" t="s">
        <v>117</v>
      </c>
      <c r="R65" t="s">
        <v>91</v>
      </c>
      <c r="S65">
        <v>6.5462254297168634E-2</v>
      </c>
      <c r="T65" t="s">
        <v>77</v>
      </c>
      <c r="V65" t="s">
        <v>137</v>
      </c>
      <c r="W65" t="s">
        <v>91</v>
      </c>
      <c r="X65">
        <v>1.6426607726484094E-2</v>
      </c>
      <c r="Y65" t="s">
        <v>77</v>
      </c>
      <c r="AA65" t="s">
        <v>157</v>
      </c>
      <c r="AB65" t="s">
        <v>91</v>
      </c>
      <c r="AC65">
        <v>1.8305325623974501E-2</v>
      </c>
      <c r="AD65" t="s">
        <v>77</v>
      </c>
    </row>
    <row r="66" spans="17:30" x14ac:dyDescent="0.25">
      <c r="Q66" t="s">
        <v>117</v>
      </c>
      <c r="R66" t="s">
        <v>92</v>
      </c>
      <c r="S66">
        <v>6.2845211180167948E-2</v>
      </c>
      <c r="T66" t="s">
        <v>77</v>
      </c>
      <c r="V66" t="s">
        <v>137</v>
      </c>
      <c r="W66" t="s">
        <v>92</v>
      </c>
      <c r="X66">
        <v>1.8535794319108904E-2</v>
      </c>
      <c r="Y66" t="s">
        <v>77</v>
      </c>
      <c r="AA66" t="s">
        <v>157</v>
      </c>
      <c r="AB66" t="s">
        <v>92</v>
      </c>
      <c r="AC66">
        <v>1.8622834897133671E-2</v>
      </c>
      <c r="AD66" t="s">
        <v>77</v>
      </c>
    </row>
    <row r="67" spans="17:30" x14ac:dyDescent="0.25">
      <c r="Q67" t="s">
        <v>117</v>
      </c>
      <c r="R67" t="s">
        <v>93</v>
      </c>
      <c r="S67">
        <v>5.1610190458169503E-2</v>
      </c>
      <c r="T67" t="s">
        <v>77</v>
      </c>
      <c r="V67" t="s">
        <v>137</v>
      </c>
      <c r="W67" t="s">
        <v>93</v>
      </c>
      <c r="X67">
        <v>1.9519321282108662E-2</v>
      </c>
      <c r="Y67" t="s">
        <v>77</v>
      </c>
      <c r="AA67" t="s">
        <v>157</v>
      </c>
      <c r="AB67" t="s">
        <v>93</v>
      </c>
      <c r="AC67">
        <v>2.0054474791864955E-2</v>
      </c>
      <c r="AD67" t="s">
        <v>77</v>
      </c>
    </row>
    <row r="68" spans="17:30" x14ac:dyDescent="0.25">
      <c r="Q68" t="s">
        <v>117</v>
      </c>
      <c r="R68" t="s">
        <v>94</v>
      </c>
      <c r="S68">
        <v>2.886130007615682E-2</v>
      </c>
      <c r="T68" t="s">
        <v>77</v>
      </c>
      <c r="V68" t="s">
        <v>137</v>
      </c>
      <c r="W68" t="s">
        <v>94</v>
      </c>
      <c r="X68">
        <v>2.0577274087415078E-2</v>
      </c>
      <c r="Y68" t="s">
        <v>77</v>
      </c>
      <c r="AA68" t="s">
        <v>157</v>
      </c>
      <c r="AB68" t="s">
        <v>94</v>
      </c>
      <c r="AC68">
        <v>2.1608901212045915E-2</v>
      </c>
      <c r="AD68" t="s">
        <v>77</v>
      </c>
    </row>
    <row r="69" spans="17:30" x14ac:dyDescent="0.25">
      <c r="Q69" t="s">
        <v>117</v>
      </c>
      <c r="R69" t="s">
        <v>95</v>
      </c>
      <c r="S69">
        <v>4.1863402091620568E-3</v>
      </c>
      <c r="T69" t="s">
        <v>77</v>
      </c>
      <c r="V69" t="s">
        <v>137</v>
      </c>
      <c r="W69" t="s">
        <v>95</v>
      </c>
      <c r="X69">
        <v>2.4317007960376353E-2</v>
      </c>
      <c r="Y69" t="s">
        <v>77</v>
      </c>
      <c r="AA69" t="s">
        <v>157</v>
      </c>
      <c r="AB69" t="s">
        <v>95</v>
      </c>
      <c r="AC69">
        <v>2.308208857645995E-2</v>
      </c>
      <c r="AD69" t="s">
        <v>77</v>
      </c>
    </row>
    <row r="70" spans="17:30" x14ac:dyDescent="0.25">
      <c r="Q70" t="s">
        <v>117</v>
      </c>
      <c r="R70" t="s">
        <v>96</v>
      </c>
      <c r="S70">
        <v>0</v>
      </c>
      <c r="T70" t="s">
        <v>77</v>
      </c>
      <c r="V70" t="s">
        <v>137</v>
      </c>
      <c r="W70" t="s">
        <v>96</v>
      </c>
      <c r="X70">
        <v>3.7502295738591394E-2</v>
      </c>
      <c r="Y70" t="s">
        <v>77</v>
      </c>
      <c r="AA70" t="s">
        <v>157</v>
      </c>
      <c r="AB70" t="s">
        <v>96</v>
      </c>
      <c r="AC70">
        <v>3.5327909016734153E-2</v>
      </c>
      <c r="AD70" t="s">
        <v>77</v>
      </c>
    </row>
    <row r="71" spans="17:30" x14ac:dyDescent="0.25">
      <c r="Q71" t="s">
        <v>117</v>
      </c>
      <c r="R71" t="s">
        <v>97</v>
      </c>
      <c r="S71">
        <v>0</v>
      </c>
      <c r="T71" t="s">
        <v>77</v>
      </c>
      <c r="V71" t="s">
        <v>137</v>
      </c>
      <c r="W71" t="s">
        <v>97</v>
      </c>
      <c r="X71">
        <v>2.9782539553106835E-2</v>
      </c>
      <c r="Y71" t="s">
        <v>77</v>
      </c>
      <c r="AA71" t="s">
        <v>157</v>
      </c>
      <c r="AB71" t="s">
        <v>97</v>
      </c>
      <c r="AC71">
        <v>3.6669064254360374E-2</v>
      </c>
      <c r="AD71" t="s">
        <v>77</v>
      </c>
    </row>
    <row r="72" spans="17:30" x14ac:dyDescent="0.25">
      <c r="Q72" t="s">
        <v>117</v>
      </c>
      <c r="R72" t="s">
        <v>98</v>
      </c>
      <c r="S72">
        <v>1.7306967046699585E-2</v>
      </c>
      <c r="T72" t="s">
        <v>77</v>
      </c>
      <c r="V72" t="s">
        <v>137</v>
      </c>
      <c r="W72" t="s">
        <v>98</v>
      </c>
      <c r="X72">
        <v>1.0024829857190143E-2</v>
      </c>
      <c r="Y72" t="s">
        <v>77</v>
      </c>
      <c r="AA72" t="s">
        <v>157</v>
      </c>
      <c r="AB72" t="s">
        <v>98</v>
      </c>
      <c r="AC72">
        <v>1.4330814363298208E-2</v>
      </c>
      <c r="AD72" t="s">
        <v>77</v>
      </c>
    </row>
    <row r="73" spans="17:30" x14ac:dyDescent="0.25">
      <c r="Q73" t="s">
        <v>117</v>
      </c>
      <c r="R73" t="s">
        <v>99</v>
      </c>
      <c r="S73">
        <v>5.3551031178311448E-2</v>
      </c>
      <c r="T73" t="s">
        <v>77</v>
      </c>
      <c r="V73" t="s">
        <v>137</v>
      </c>
      <c r="W73" t="s">
        <v>99</v>
      </c>
      <c r="X73">
        <v>7.8148448200360213E-3</v>
      </c>
      <c r="Y73" t="s">
        <v>77</v>
      </c>
      <c r="AA73" t="s">
        <v>157</v>
      </c>
      <c r="AB73" t="s">
        <v>99</v>
      </c>
      <c r="AC73">
        <v>1.411050262569649E-2</v>
      </c>
      <c r="AD73" t="s">
        <v>77</v>
      </c>
    </row>
    <row r="74" spans="17:30" x14ac:dyDescent="0.25">
      <c r="Q74" t="s">
        <v>117</v>
      </c>
      <c r="R74" t="s">
        <v>100</v>
      </c>
      <c r="S74">
        <v>7.3900096127003545E-2</v>
      </c>
      <c r="T74" t="s">
        <v>77</v>
      </c>
      <c r="V74" t="s">
        <v>137</v>
      </c>
      <c r="W74" t="s">
        <v>100</v>
      </c>
      <c r="X74">
        <v>8.9776181295262401E-3</v>
      </c>
      <c r="Y74" t="s">
        <v>77</v>
      </c>
      <c r="AA74" t="s">
        <v>157</v>
      </c>
      <c r="AB74" t="s">
        <v>100</v>
      </c>
      <c r="AC74">
        <v>1.3543735848782856E-2</v>
      </c>
      <c r="AD74" t="s">
        <v>77</v>
      </c>
    </row>
    <row r="75" spans="17:30" x14ac:dyDescent="0.25">
      <c r="Q75" t="s">
        <v>117</v>
      </c>
      <c r="R75" t="s">
        <v>101</v>
      </c>
      <c r="S75">
        <v>7.4918125917033909E-2</v>
      </c>
      <c r="T75" t="s">
        <v>77</v>
      </c>
      <c r="V75" t="s">
        <v>137</v>
      </c>
      <c r="W75" t="s">
        <v>101</v>
      </c>
      <c r="X75">
        <v>7.6135671531763587E-3</v>
      </c>
      <c r="Y75" t="s">
        <v>77</v>
      </c>
      <c r="AA75" t="s">
        <v>157</v>
      </c>
      <c r="AB75" t="s">
        <v>101</v>
      </c>
      <c r="AC75">
        <v>1.2280565419770824E-2</v>
      </c>
      <c r="AD75" t="s">
        <v>77</v>
      </c>
    </row>
    <row r="76" spans="17:30" x14ac:dyDescent="0.25">
      <c r="Q76" t="s">
        <v>117</v>
      </c>
      <c r="R76" t="s">
        <v>102</v>
      </c>
      <c r="S76">
        <v>7.1506898150631021E-2</v>
      </c>
      <c r="T76" t="s">
        <v>77</v>
      </c>
      <c r="V76" t="s">
        <v>137</v>
      </c>
      <c r="W76" t="s">
        <v>102</v>
      </c>
      <c r="X76">
        <v>9.2789229284612161E-3</v>
      </c>
      <c r="Y76" t="s">
        <v>77</v>
      </c>
      <c r="AA76" t="s">
        <v>157</v>
      </c>
      <c r="AB76" t="s">
        <v>102</v>
      </c>
      <c r="AC76">
        <v>1.3458962126435613E-2</v>
      </c>
      <c r="AD76" t="s">
        <v>77</v>
      </c>
    </row>
    <row r="77" spans="17:30" x14ac:dyDescent="0.25">
      <c r="Q77" t="s">
        <v>117</v>
      </c>
      <c r="R77" t="s">
        <v>103</v>
      </c>
      <c r="S77">
        <v>6.4327413962867591E-2</v>
      </c>
      <c r="T77" t="s">
        <v>77</v>
      </c>
      <c r="V77" t="s">
        <v>137</v>
      </c>
      <c r="W77" t="s">
        <v>103</v>
      </c>
      <c r="X77">
        <v>1.0936678861261163E-2</v>
      </c>
      <c r="Y77" t="s">
        <v>77</v>
      </c>
      <c r="AA77" t="s">
        <v>157</v>
      </c>
      <c r="AB77" t="s">
        <v>103</v>
      </c>
      <c r="AC77">
        <v>1.4857242880193086E-2</v>
      </c>
      <c r="AD77" t="s">
        <v>77</v>
      </c>
    </row>
    <row r="78" spans="17:30" x14ac:dyDescent="0.25">
      <c r="Q78" t="s">
        <v>117</v>
      </c>
      <c r="R78" t="s">
        <v>104</v>
      </c>
      <c r="S78">
        <v>4.3177828569251807E-2</v>
      </c>
      <c r="T78" t="s">
        <v>77</v>
      </c>
      <c r="V78" t="s">
        <v>137</v>
      </c>
      <c r="W78" t="s">
        <v>104</v>
      </c>
      <c r="X78">
        <v>1.0527482176386769E-2</v>
      </c>
      <c r="Y78" t="s">
        <v>77</v>
      </c>
      <c r="AA78" t="s">
        <v>157</v>
      </c>
      <c r="AB78" t="s">
        <v>104</v>
      </c>
      <c r="AC78">
        <v>1.5070431249181422E-2</v>
      </c>
      <c r="AD78" t="s">
        <v>77</v>
      </c>
    </row>
    <row r="79" spans="17:30" x14ac:dyDescent="0.25">
      <c r="Q79" t="s">
        <v>117</v>
      </c>
      <c r="R79" t="s">
        <v>105</v>
      </c>
      <c r="S79">
        <v>1.4117022479778439E-2</v>
      </c>
      <c r="T79" t="s">
        <v>77</v>
      </c>
      <c r="V79" t="s">
        <v>137</v>
      </c>
      <c r="W79" t="s">
        <v>105</v>
      </c>
      <c r="X79">
        <v>1.2101806532907355E-2</v>
      </c>
      <c r="Y79" t="s">
        <v>77</v>
      </c>
      <c r="AA79" t="s">
        <v>157</v>
      </c>
      <c r="AB79" t="s">
        <v>105</v>
      </c>
      <c r="AC79">
        <v>1.4836047177197113E-2</v>
      </c>
      <c r="AD79" t="s">
        <v>77</v>
      </c>
    </row>
    <row r="80" spans="17:30" x14ac:dyDescent="0.25">
      <c r="Q80" t="s">
        <v>117</v>
      </c>
      <c r="R80" t="s">
        <v>106</v>
      </c>
      <c r="S80">
        <v>0</v>
      </c>
      <c r="T80" t="s">
        <v>77</v>
      </c>
      <c r="V80" t="s">
        <v>137</v>
      </c>
      <c r="W80" t="s">
        <v>106</v>
      </c>
      <c r="X80">
        <v>1.9696407640965842E-2</v>
      </c>
      <c r="Y80" t="s">
        <v>77</v>
      </c>
      <c r="AA80" t="s">
        <v>157</v>
      </c>
      <c r="AB80" t="s">
        <v>106</v>
      </c>
      <c r="AC80">
        <v>2.1973256957628064E-2</v>
      </c>
      <c r="AD80" t="s">
        <v>77</v>
      </c>
    </row>
    <row r="81" spans="17:30" x14ac:dyDescent="0.25">
      <c r="Q81" t="s">
        <v>117</v>
      </c>
      <c r="R81" t="s">
        <v>107</v>
      </c>
      <c r="S81">
        <v>0</v>
      </c>
      <c r="T81" t="s">
        <v>77</v>
      </c>
      <c r="V81" t="s">
        <v>137</v>
      </c>
      <c r="W81" t="s">
        <v>107</v>
      </c>
      <c r="X81">
        <v>5.4897245717874521E-2</v>
      </c>
      <c r="Y81" t="s">
        <v>77</v>
      </c>
      <c r="AA81" t="s">
        <v>157</v>
      </c>
      <c r="AB81" t="s">
        <v>107</v>
      </c>
      <c r="AC81">
        <v>5.2935487082268494E-2</v>
      </c>
      <c r="AD81" t="s">
        <v>77</v>
      </c>
    </row>
    <row r="82" spans="17:30" x14ac:dyDescent="0.25">
      <c r="Q82" t="s">
        <v>117</v>
      </c>
      <c r="R82" t="s">
        <v>108</v>
      </c>
      <c r="S82">
        <v>6.3123503422838484E-4</v>
      </c>
      <c r="T82" t="s">
        <v>77</v>
      </c>
      <c r="V82" t="s">
        <v>137</v>
      </c>
      <c r="W82" t="s">
        <v>108</v>
      </c>
      <c r="X82">
        <v>2.0209853176078412E-2</v>
      </c>
      <c r="Y82" t="s">
        <v>77</v>
      </c>
      <c r="AA82" t="s">
        <v>157</v>
      </c>
      <c r="AB82" t="s">
        <v>108</v>
      </c>
      <c r="AC82">
        <v>2.1213659930966241E-2</v>
      </c>
      <c r="AD82" t="s">
        <v>77</v>
      </c>
    </row>
    <row r="83" spans="17:30" x14ac:dyDescent="0.25">
      <c r="Q83" t="s">
        <v>117</v>
      </c>
      <c r="R83" t="s">
        <v>109</v>
      </c>
      <c r="S83">
        <v>1.597651676587435E-2</v>
      </c>
      <c r="T83" t="s">
        <v>77</v>
      </c>
      <c r="V83" t="s">
        <v>137</v>
      </c>
      <c r="W83" t="s">
        <v>109</v>
      </c>
      <c r="X83">
        <v>1.9549940713398949E-2</v>
      </c>
      <c r="Y83" t="s">
        <v>77</v>
      </c>
      <c r="AA83" t="s">
        <v>157</v>
      </c>
      <c r="AB83" t="s">
        <v>109</v>
      </c>
      <c r="AC83">
        <v>2.1675452241600092E-2</v>
      </c>
      <c r="AD83" t="s">
        <v>77</v>
      </c>
    </row>
    <row r="84" spans="17:30" x14ac:dyDescent="0.25">
      <c r="Q84" t="s">
        <v>117</v>
      </c>
      <c r="R84" t="s">
        <v>110</v>
      </c>
      <c r="S84">
        <v>3.6373986128046827E-2</v>
      </c>
      <c r="T84" t="s">
        <v>77</v>
      </c>
      <c r="V84" t="s">
        <v>137</v>
      </c>
      <c r="W84" t="s">
        <v>110</v>
      </c>
      <c r="X84">
        <v>1.8457275974598172E-2</v>
      </c>
      <c r="Y84" t="s">
        <v>77</v>
      </c>
      <c r="AA84" t="s">
        <v>157</v>
      </c>
      <c r="AB84" t="s">
        <v>110</v>
      </c>
      <c r="AC84">
        <v>2.1959877044093041E-2</v>
      </c>
      <c r="AD84" t="s">
        <v>77</v>
      </c>
    </row>
    <row r="85" spans="17:30" x14ac:dyDescent="0.25">
      <c r="Q85" t="s">
        <v>117</v>
      </c>
      <c r="R85" t="s">
        <v>111</v>
      </c>
      <c r="S85">
        <v>4.1948798397579631E-2</v>
      </c>
      <c r="T85" t="s">
        <v>77</v>
      </c>
      <c r="V85" t="s">
        <v>137</v>
      </c>
      <c r="W85" t="s">
        <v>111</v>
      </c>
      <c r="X85">
        <v>1.761693897992626E-2</v>
      </c>
      <c r="Y85" t="s">
        <v>77</v>
      </c>
      <c r="AA85" t="s">
        <v>157</v>
      </c>
      <c r="AB85" t="s">
        <v>111</v>
      </c>
      <c r="AC85">
        <v>2.1130232193841567E-2</v>
      </c>
      <c r="AD85" t="s">
        <v>77</v>
      </c>
    </row>
    <row r="86" spans="17:30" x14ac:dyDescent="0.25">
      <c r="Q86" t="s">
        <v>117</v>
      </c>
      <c r="R86" t="s">
        <v>112</v>
      </c>
      <c r="S86">
        <v>4.2982917498279816E-2</v>
      </c>
      <c r="T86" t="s">
        <v>77</v>
      </c>
      <c r="V86" t="s">
        <v>137</v>
      </c>
      <c r="W86" t="s">
        <v>112</v>
      </c>
      <c r="X86">
        <v>1.9659002222538306E-2</v>
      </c>
      <c r="Y86" t="s">
        <v>77</v>
      </c>
      <c r="AA86" t="s">
        <v>157</v>
      </c>
      <c r="AB86" t="s">
        <v>112</v>
      </c>
      <c r="AC86">
        <v>2.0977563892970359E-2</v>
      </c>
      <c r="AD86" t="s">
        <v>77</v>
      </c>
    </row>
    <row r="87" spans="17:30" x14ac:dyDescent="0.25">
      <c r="Q87" t="s">
        <v>117</v>
      </c>
      <c r="R87" t="s">
        <v>113</v>
      </c>
      <c r="S87">
        <v>3.1132285078301094E-2</v>
      </c>
      <c r="T87" t="s">
        <v>77</v>
      </c>
      <c r="V87" t="s">
        <v>137</v>
      </c>
      <c r="W87" t="s">
        <v>113</v>
      </c>
      <c r="X87">
        <v>2.0773918461541783E-2</v>
      </c>
      <c r="Y87" t="s">
        <v>77</v>
      </c>
      <c r="AA87" t="s">
        <v>157</v>
      </c>
      <c r="AB87" t="s">
        <v>113</v>
      </c>
      <c r="AC87">
        <v>2.1387464989715086E-2</v>
      </c>
      <c r="AD87" t="s">
        <v>77</v>
      </c>
    </row>
    <row r="88" spans="17:30" x14ac:dyDescent="0.25">
      <c r="Q88" t="s">
        <v>117</v>
      </c>
      <c r="R88" t="s">
        <v>114</v>
      </c>
      <c r="S88">
        <v>8.3314161561162513E-3</v>
      </c>
      <c r="T88" t="s">
        <v>77</v>
      </c>
      <c r="V88" t="s">
        <v>137</v>
      </c>
      <c r="W88" t="s">
        <v>114</v>
      </c>
      <c r="X88">
        <v>2.4043189614494049E-2</v>
      </c>
      <c r="Y88" t="s">
        <v>77</v>
      </c>
      <c r="AA88" t="s">
        <v>157</v>
      </c>
      <c r="AB88" t="s">
        <v>114</v>
      </c>
      <c r="AC88">
        <v>2.2254788644095701E-2</v>
      </c>
      <c r="AD88" t="s">
        <v>77</v>
      </c>
    </row>
    <row r="89" spans="17:30" x14ac:dyDescent="0.25">
      <c r="Q89" t="s">
        <v>117</v>
      </c>
      <c r="R89" t="s">
        <v>115</v>
      </c>
      <c r="S89">
        <v>6.1182494558961802E-7</v>
      </c>
      <c r="T89" t="s">
        <v>77</v>
      </c>
      <c r="V89" t="s">
        <v>137</v>
      </c>
      <c r="W89" t="s">
        <v>115</v>
      </c>
      <c r="X89">
        <v>2.6078788975439918E-2</v>
      </c>
      <c r="Y89" t="s">
        <v>77</v>
      </c>
      <c r="AA89" t="s">
        <v>157</v>
      </c>
      <c r="AB89" t="s">
        <v>115</v>
      </c>
      <c r="AC89">
        <v>2.2759711587027089E-2</v>
      </c>
      <c r="AD89" t="s">
        <v>77</v>
      </c>
    </row>
    <row r="90" spans="17:30" x14ac:dyDescent="0.25">
      <c r="Q90" t="s">
        <v>117</v>
      </c>
      <c r="R90" t="s">
        <v>116</v>
      </c>
      <c r="S90">
        <v>0</v>
      </c>
      <c r="T90" t="s">
        <v>77</v>
      </c>
      <c r="V90" t="s">
        <v>137</v>
      </c>
      <c r="W90" t="s">
        <v>116</v>
      </c>
      <c r="X90">
        <v>3.9008481150171789E-2</v>
      </c>
      <c r="Y90" t="s">
        <v>77</v>
      </c>
      <c r="AA90" t="s">
        <v>157</v>
      </c>
      <c r="AB90" t="s">
        <v>116</v>
      </c>
      <c r="AC90">
        <v>3.366663409162348E-2</v>
      </c>
      <c r="AD90" t="s">
        <v>77</v>
      </c>
    </row>
    <row r="91" spans="17:30" x14ac:dyDescent="0.25">
      <c r="Q91" t="s">
        <v>118</v>
      </c>
      <c r="R91" t="s">
        <v>76</v>
      </c>
      <c r="S91">
        <v>0</v>
      </c>
      <c r="T91" t="s">
        <v>77</v>
      </c>
      <c r="V91" t="s">
        <v>138</v>
      </c>
      <c r="W91" t="s">
        <v>76</v>
      </c>
      <c r="X91">
        <v>7.3555949944234048E-2</v>
      </c>
      <c r="Y91" t="s">
        <v>77</v>
      </c>
      <c r="AA91" t="s">
        <v>158</v>
      </c>
      <c r="AB91" t="s">
        <v>76</v>
      </c>
      <c r="AC91">
        <v>6.7499424416099768E-2</v>
      </c>
      <c r="AD91" t="s">
        <v>77</v>
      </c>
    </row>
    <row r="92" spans="17:30" x14ac:dyDescent="0.25">
      <c r="Q92" t="s">
        <v>118</v>
      </c>
      <c r="R92" t="s">
        <v>78</v>
      </c>
      <c r="S92">
        <v>0</v>
      </c>
      <c r="T92" t="s">
        <v>77</v>
      </c>
      <c r="V92" t="s">
        <v>138</v>
      </c>
      <c r="W92" t="s">
        <v>78</v>
      </c>
      <c r="X92">
        <v>2.9841170865396675E-2</v>
      </c>
      <c r="Y92" t="s">
        <v>77</v>
      </c>
      <c r="AA92" t="s">
        <v>158</v>
      </c>
      <c r="AB92" t="s">
        <v>78</v>
      </c>
      <c r="AC92">
        <v>2.6649092158111384E-2</v>
      </c>
      <c r="AD92" t="s">
        <v>77</v>
      </c>
    </row>
    <row r="93" spans="17:30" x14ac:dyDescent="0.25">
      <c r="Q93" t="s">
        <v>118</v>
      </c>
      <c r="R93" t="s">
        <v>79</v>
      </c>
      <c r="S93">
        <v>5.0066600413036866E-4</v>
      </c>
      <c r="T93" t="s">
        <v>77</v>
      </c>
      <c r="V93" t="s">
        <v>138</v>
      </c>
      <c r="W93" t="s">
        <v>79</v>
      </c>
      <c r="X93">
        <v>2.9952624801595676E-2</v>
      </c>
      <c r="Y93" t="s">
        <v>77</v>
      </c>
      <c r="AA93" t="s">
        <v>158</v>
      </c>
      <c r="AB93" t="s">
        <v>79</v>
      </c>
      <c r="AC93">
        <v>2.7021139145331996E-2</v>
      </c>
      <c r="AD93" t="s">
        <v>77</v>
      </c>
    </row>
    <row r="94" spans="17:30" x14ac:dyDescent="0.25">
      <c r="Q94" t="s">
        <v>118</v>
      </c>
      <c r="R94" t="s">
        <v>80</v>
      </c>
      <c r="S94">
        <v>1.461600380041447E-2</v>
      </c>
      <c r="T94" t="s">
        <v>77</v>
      </c>
      <c r="V94" t="s">
        <v>138</v>
      </c>
      <c r="W94" t="s">
        <v>80</v>
      </c>
      <c r="X94">
        <v>2.9306810266076469E-2</v>
      </c>
      <c r="Y94" t="s">
        <v>77</v>
      </c>
      <c r="AA94" t="s">
        <v>158</v>
      </c>
      <c r="AB94" t="s">
        <v>80</v>
      </c>
      <c r="AC94">
        <v>2.7242298673427222E-2</v>
      </c>
      <c r="AD94" t="s">
        <v>77</v>
      </c>
    </row>
    <row r="95" spans="17:30" x14ac:dyDescent="0.25">
      <c r="Q95" t="s">
        <v>118</v>
      </c>
      <c r="R95" t="s">
        <v>81</v>
      </c>
      <c r="S95">
        <v>2.6247279478015615E-2</v>
      </c>
      <c r="T95" t="s">
        <v>77</v>
      </c>
      <c r="V95" t="s">
        <v>138</v>
      </c>
      <c r="W95" t="s">
        <v>81</v>
      </c>
      <c r="X95">
        <v>2.6879904742970653E-2</v>
      </c>
      <c r="Y95" t="s">
        <v>77</v>
      </c>
      <c r="AA95" t="s">
        <v>158</v>
      </c>
      <c r="AB95" t="s">
        <v>81</v>
      </c>
      <c r="AC95">
        <v>2.580348625354989E-2</v>
      </c>
      <c r="AD95" t="s">
        <v>77</v>
      </c>
    </row>
    <row r="96" spans="17:30" x14ac:dyDescent="0.25">
      <c r="Q96" t="s">
        <v>118</v>
      </c>
      <c r="R96" t="s">
        <v>82</v>
      </c>
      <c r="S96">
        <v>2.6604655949673817E-2</v>
      </c>
      <c r="T96" t="s">
        <v>77</v>
      </c>
      <c r="V96" t="s">
        <v>138</v>
      </c>
      <c r="W96" t="s">
        <v>82</v>
      </c>
      <c r="X96">
        <v>2.605218889291544E-2</v>
      </c>
      <c r="Y96" t="s">
        <v>77</v>
      </c>
      <c r="AA96" t="s">
        <v>158</v>
      </c>
      <c r="AB96" t="s">
        <v>82</v>
      </c>
      <c r="AC96">
        <v>2.5544882680170217E-2</v>
      </c>
      <c r="AD96" t="s">
        <v>77</v>
      </c>
    </row>
    <row r="97" spans="17:30" x14ac:dyDescent="0.25">
      <c r="Q97" t="s">
        <v>118</v>
      </c>
      <c r="R97" t="s">
        <v>83</v>
      </c>
      <c r="S97">
        <v>1.3799730308749368E-2</v>
      </c>
      <c r="T97" t="s">
        <v>77</v>
      </c>
      <c r="V97" t="s">
        <v>138</v>
      </c>
      <c r="W97" t="s">
        <v>83</v>
      </c>
      <c r="X97">
        <v>2.7377443578063581E-2</v>
      </c>
      <c r="Y97" t="s">
        <v>77</v>
      </c>
      <c r="AA97" t="s">
        <v>158</v>
      </c>
      <c r="AB97" t="s">
        <v>83</v>
      </c>
      <c r="AC97">
        <v>2.654356561504867E-2</v>
      </c>
      <c r="AD97" t="s">
        <v>77</v>
      </c>
    </row>
    <row r="98" spans="17:30" x14ac:dyDescent="0.25">
      <c r="Q98" t="s">
        <v>118</v>
      </c>
      <c r="R98" t="s">
        <v>84</v>
      </c>
      <c r="S98">
        <v>1.036392760669398E-3</v>
      </c>
      <c r="T98" t="s">
        <v>77</v>
      </c>
      <c r="V98" t="s">
        <v>138</v>
      </c>
      <c r="W98" t="s">
        <v>84</v>
      </c>
      <c r="X98">
        <v>2.961152249472403E-2</v>
      </c>
      <c r="Y98" t="s">
        <v>77</v>
      </c>
      <c r="AA98" t="s">
        <v>158</v>
      </c>
      <c r="AB98" t="s">
        <v>84</v>
      </c>
      <c r="AC98">
        <v>2.7990989568558462E-2</v>
      </c>
      <c r="AD98" t="s">
        <v>77</v>
      </c>
    </row>
    <row r="99" spans="17:30" x14ac:dyDescent="0.25">
      <c r="Q99" t="s">
        <v>118</v>
      </c>
      <c r="R99" t="s">
        <v>85</v>
      </c>
      <c r="S99">
        <v>0</v>
      </c>
      <c r="T99" t="s">
        <v>77</v>
      </c>
      <c r="V99" t="s">
        <v>138</v>
      </c>
      <c r="W99" t="s">
        <v>85</v>
      </c>
      <c r="X99">
        <v>3.0197584130866349E-2</v>
      </c>
      <c r="Y99" t="s">
        <v>77</v>
      </c>
      <c r="AA99" t="s">
        <v>158</v>
      </c>
      <c r="AB99" t="s">
        <v>85</v>
      </c>
      <c r="AC99">
        <v>2.8399323779049558E-2</v>
      </c>
      <c r="AD99" t="s">
        <v>77</v>
      </c>
    </row>
    <row r="100" spans="17:30" x14ac:dyDescent="0.25">
      <c r="Q100" t="s">
        <v>118</v>
      </c>
      <c r="R100" t="s">
        <v>86</v>
      </c>
      <c r="S100">
        <v>0</v>
      </c>
      <c r="T100" t="s">
        <v>77</v>
      </c>
      <c r="V100" t="s">
        <v>138</v>
      </c>
      <c r="W100" t="s">
        <v>86</v>
      </c>
      <c r="X100">
        <v>4.4847668506625651E-2</v>
      </c>
      <c r="Y100" t="s">
        <v>77</v>
      </c>
      <c r="AA100" t="s">
        <v>158</v>
      </c>
      <c r="AB100" t="s">
        <v>86</v>
      </c>
      <c r="AC100">
        <v>4.2424242670859903E-2</v>
      </c>
      <c r="AD100" t="s">
        <v>77</v>
      </c>
    </row>
    <row r="101" spans="17:30" x14ac:dyDescent="0.25">
      <c r="Q101" t="s">
        <v>118</v>
      </c>
      <c r="R101" t="s">
        <v>87</v>
      </c>
      <c r="S101">
        <v>0</v>
      </c>
      <c r="T101" t="s">
        <v>77</v>
      </c>
      <c r="V101" t="s">
        <v>138</v>
      </c>
      <c r="W101" t="s">
        <v>87</v>
      </c>
      <c r="X101">
        <v>5.9764695758449463E-2</v>
      </c>
      <c r="Y101" t="s">
        <v>77</v>
      </c>
      <c r="AA101" t="s">
        <v>158</v>
      </c>
      <c r="AB101" t="s">
        <v>87</v>
      </c>
      <c r="AC101">
        <v>5.5417974749842641E-2</v>
      </c>
      <c r="AD101" t="s">
        <v>77</v>
      </c>
    </row>
    <row r="102" spans="17:30" x14ac:dyDescent="0.25">
      <c r="Q102" t="s">
        <v>118</v>
      </c>
      <c r="R102" t="s">
        <v>88</v>
      </c>
      <c r="S102">
        <v>8.8603801629293568E-3</v>
      </c>
      <c r="T102" t="s">
        <v>77</v>
      </c>
      <c r="V102" t="s">
        <v>138</v>
      </c>
      <c r="W102" t="s">
        <v>88</v>
      </c>
      <c r="X102">
        <v>2.326502060955854E-2</v>
      </c>
      <c r="Y102" t="s">
        <v>77</v>
      </c>
      <c r="AA102" t="s">
        <v>158</v>
      </c>
      <c r="AB102" t="s">
        <v>88</v>
      </c>
      <c r="AC102">
        <v>2.180214533239621E-2</v>
      </c>
      <c r="AD102" t="s">
        <v>77</v>
      </c>
    </row>
    <row r="103" spans="17:30" x14ac:dyDescent="0.25">
      <c r="Q103" t="s">
        <v>118</v>
      </c>
      <c r="R103" t="s">
        <v>89</v>
      </c>
      <c r="S103">
        <v>3.7219811134268303E-2</v>
      </c>
      <c r="T103" t="s">
        <v>77</v>
      </c>
      <c r="V103" t="s">
        <v>138</v>
      </c>
      <c r="W103" t="s">
        <v>89</v>
      </c>
      <c r="X103">
        <v>2.0134422676571749E-2</v>
      </c>
      <c r="Y103" t="s">
        <v>77</v>
      </c>
      <c r="AA103" t="s">
        <v>158</v>
      </c>
      <c r="AB103" t="s">
        <v>89</v>
      </c>
      <c r="AC103">
        <v>2.0669878043488136E-2</v>
      </c>
      <c r="AD103" t="s">
        <v>77</v>
      </c>
    </row>
    <row r="104" spans="17:30" x14ac:dyDescent="0.25">
      <c r="Q104" t="s">
        <v>118</v>
      </c>
      <c r="R104" t="s">
        <v>90</v>
      </c>
      <c r="S104">
        <v>6.03443542530833E-2</v>
      </c>
      <c r="T104" t="s">
        <v>77</v>
      </c>
      <c r="V104" t="s">
        <v>138</v>
      </c>
      <c r="W104" t="s">
        <v>90</v>
      </c>
      <c r="X104">
        <v>2.0046938693690543E-2</v>
      </c>
      <c r="Y104" t="s">
        <v>77</v>
      </c>
      <c r="AA104" t="s">
        <v>158</v>
      </c>
      <c r="AB104" t="s">
        <v>90</v>
      </c>
      <c r="AC104">
        <v>1.9624010956578956E-2</v>
      </c>
      <c r="AD104" t="s">
        <v>77</v>
      </c>
    </row>
    <row r="105" spans="17:30" x14ac:dyDescent="0.25">
      <c r="Q105" t="s">
        <v>118</v>
      </c>
      <c r="R105" t="s">
        <v>91</v>
      </c>
      <c r="S105">
        <v>6.7189359665887516E-2</v>
      </c>
      <c r="T105" t="s">
        <v>77</v>
      </c>
      <c r="V105" t="s">
        <v>138</v>
      </c>
      <c r="W105" t="s">
        <v>91</v>
      </c>
      <c r="X105">
        <v>1.8609874704504099E-2</v>
      </c>
      <c r="Y105" t="s">
        <v>77</v>
      </c>
      <c r="AA105" t="s">
        <v>158</v>
      </c>
      <c r="AB105" t="s">
        <v>91</v>
      </c>
      <c r="AC105">
        <v>1.6876964098683941E-2</v>
      </c>
      <c r="AD105" t="s">
        <v>77</v>
      </c>
    </row>
    <row r="106" spans="17:30" x14ac:dyDescent="0.25">
      <c r="Q106" t="s">
        <v>118</v>
      </c>
      <c r="R106" t="s">
        <v>92</v>
      </c>
      <c r="S106">
        <v>6.3352949614446805E-2</v>
      </c>
      <c r="T106" t="s">
        <v>77</v>
      </c>
      <c r="V106" t="s">
        <v>138</v>
      </c>
      <c r="W106" t="s">
        <v>92</v>
      </c>
      <c r="X106">
        <v>2.1334695816498252E-2</v>
      </c>
      <c r="Y106" t="s">
        <v>77</v>
      </c>
      <c r="AA106" t="s">
        <v>158</v>
      </c>
      <c r="AB106" t="s">
        <v>92</v>
      </c>
      <c r="AC106">
        <v>1.7350505073208532E-2</v>
      </c>
      <c r="AD106" t="s">
        <v>77</v>
      </c>
    </row>
    <row r="107" spans="17:30" x14ac:dyDescent="0.25">
      <c r="Q107" t="s">
        <v>118</v>
      </c>
      <c r="R107" t="s">
        <v>93</v>
      </c>
      <c r="S107">
        <v>5.198490895756127E-2</v>
      </c>
      <c r="T107" t="s">
        <v>77</v>
      </c>
      <c r="V107" t="s">
        <v>138</v>
      </c>
      <c r="W107" t="s">
        <v>93</v>
      </c>
      <c r="X107">
        <v>2.0916619803895867E-2</v>
      </c>
      <c r="Y107" t="s">
        <v>77</v>
      </c>
      <c r="AA107" t="s">
        <v>158</v>
      </c>
      <c r="AB107" t="s">
        <v>93</v>
      </c>
      <c r="AC107">
        <v>1.8811882861279605E-2</v>
      </c>
      <c r="AD107" t="s">
        <v>77</v>
      </c>
    </row>
    <row r="108" spans="17:30" x14ac:dyDescent="0.25">
      <c r="Q108" t="s">
        <v>118</v>
      </c>
      <c r="R108" t="s">
        <v>94</v>
      </c>
      <c r="S108">
        <v>2.9881194995554736E-2</v>
      </c>
      <c r="T108" t="s">
        <v>77</v>
      </c>
      <c r="V108" t="s">
        <v>138</v>
      </c>
      <c r="W108" t="s">
        <v>94</v>
      </c>
      <c r="X108">
        <v>2.0579856561667213E-2</v>
      </c>
      <c r="Y108" t="s">
        <v>77</v>
      </c>
      <c r="AA108" t="s">
        <v>158</v>
      </c>
      <c r="AB108" t="s">
        <v>94</v>
      </c>
      <c r="AC108">
        <v>2.0467417665696246E-2</v>
      </c>
      <c r="AD108" t="s">
        <v>77</v>
      </c>
    </row>
    <row r="109" spans="17:30" x14ac:dyDescent="0.25">
      <c r="Q109" t="s">
        <v>118</v>
      </c>
      <c r="R109" t="s">
        <v>95</v>
      </c>
      <c r="S109">
        <v>4.9288236623076E-3</v>
      </c>
      <c r="T109" t="s">
        <v>77</v>
      </c>
      <c r="V109" t="s">
        <v>138</v>
      </c>
      <c r="W109" t="s">
        <v>95</v>
      </c>
      <c r="X109">
        <v>2.3672904614733419E-2</v>
      </c>
      <c r="Y109" t="s">
        <v>77</v>
      </c>
      <c r="AA109" t="s">
        <v>158</v>
      </c>
      <c r="AB109" t="s">
        <v>95</v>
      </c>
      <c r="AC109">
        <v>2.1923189479267302E-2</v>
      </c>
      <c r="AD109" t="s">
        <v>77</v>
      </c>
    </row>
    <row r="110" spans="17:30" x14ac:dyDescent="0.25">
      <c r="Q110" t="s">
        <v>118</v>
      </c>
      <c r="R110" t="s">
        <v>96</v>
      </c>
      <c r="S110">
        <v>0</v>
      </c>
      <c r="T110" t="s">
        <v>77</v>
      </c>
      <c r="V110" t="s">
        <v>138</v>
      </c>
      <c r="W110" t="s">
        <v>96</v>
      </c>
      <c r="X110">
        <v>3.72471315367899E-2</v>
      </c>
      <c r="Y110" t="s">
        <v>77</v>
      </c>
      <c r="AA110" t="s">
        <v>158</v>
      </c>
      <c r="AB110" t="s">
        <v>96</v>
      </c>
      <c r="AC110">
        <v>3.401759917037022E-2</v>
      </c>
      <c r="AD110" t="s">
        <v>77</v>
      </c>
    </row>
    <row r="111" spans="17:30" x14ac:dyDescent="0.25">
      <c r="Q111" t="s">
        <v>118</v>
      </c>
      <c r="R111" t="s">
        <v>97</v>
      </c>
      <c r="S111">
        <v>0</v>
      </c>
      <c r="T111" t="s">
        <v>77</v>
      </c>
      <c r="V111" t="s">
        <v>138</v>
      </c>
      <c r="W111" t="s">
        <v>97</v>
      </c>
      <c r="X111">
        <v>3.1225555948804423E-2</v>
      </c>
      <c r="Y111" t="s">
        <v>77</v>
      </c>
      <c r="AA111" t="s">
        <v>158</v>
      </c>
      <c r="AB111" t="s">
        <v>97</v>
      </c>
      <c r="AC111">
        <v>3.3908940235309409E-2</v>
      </c>
      <c r="AD111" t="s">
        <v>77</v>
      </c>
    </row>
    <row r="112" spans="17:30" x14ac:dyDescent="0.25">
      <c r="Q112" t="s">
        <v>118</v>
      </c>
      <c r="R112" t="s">
        <v>98</v>
      </c>
      <c r="S112">
        <v>1.8255640191229824E-2</v>
      </c>
      <c r="T112" t="s">
        <v>77</v>
      </c>
      <c r="V112" t="s">
        <v>138</v>
      </c>
      <c r="W112" t="s">
        <v>98</v>
      </c>
      <c r="X112">
        <v>9.5566511673348398E-3</v>
      </c>
      <c r="Y112" t="s">
        <v>77</v>
      </c>
      <c r="AA112" t="s">
        <v>158</v>
      </c>
      <c r="AB112" t="s">
        <v>98</v>
      </c>
      <c r="AC112">
        <v>1.3377712804110037E-2</v>
      </c>
      <c r="AD112" t="s">
        <v>77</v>
      </c>
    </row>
    <row r="113" spans="17:30" x14ac:dyDescent="0.25">
      <c r="Q113" t="s">
        <v>118</v>
      </c>
      <c r="R113" t="s">
        <v>99</v>
      </c>
      <c r="S113">
        <v>5.4396745372322843E-2</v>
      </c>
      <c r="T113" t="s">
        <v>77</v>
      </c>
      <c r="V113" t="s">
        <v>138</v>
      </c>
      <c r="W113" t="s">
        <v>99</v>
      </c>
      <c r="X113">
        <v>7.6560045405026922E-3</v>
      </c>
      <c r="Y113" t="s">
        <v>77</v>
      </c>
      <c r="AA113" t="s">
        <v>158</v>
      </c>
      <c r="AB113" t="s">
        <v>99</v>
      </c>
      <c r="AC113">
        <v>1.2927411650086261E-2</v>
      </c>
      <c r="AD113" t="s">
        <v>77</v>
      </c>
    </row>
    <row r="114" spans="17:30" x14ac:dyDescent="0.25">
      <c r="Q114" t="s">
        <v>118</v>
      </c>
      <c r="R114" t="s">
        <v>100</v>
      </c>
      <c r="S114">
        <v>7.5112706989783479E-2</v>
      </c>
      <c r="T114" t="s">
        <v>77</v>
      </c>
      <c r="V114" t="s">
        <v>138</v>
      </c>
      <c r="W114" t="s">
        <v>100</v>
      </c>
      <c r="X114">
        <v>9.0439286428409156E-3</v>
      </c>
      <c r="Y114" t="s">
        <v>77</v>
      </c>
      <c r="AA114" t="s">
        <v>158</v>
      </c>
      <c r="AB114" t="s">
        <v>100</v>
      </c>
      <c r="AC114">
        <v>1.271012287931712E-2</v>
      </c>
      <c r="AD114" t="s">
        <v>77</v>
      </c>
    </row>
    <row r="115" spans="17:30" x14ac:dyDescent="0.25">
      <c r="Q115" t="s">
        <v>118</v>
      </c>
      <c r="R115" t="s">
        <v>101</v>
      </c>
      <c r="S115">
        <v>7.6756851248982058E-2</v>
      </c>
      <c r="T115" t="s">
        <v>77</v>
      </c>
      <c r="V115" t="s">
        <v>138</v>
      </c>
      <c r="W115" t="s">
        <v>101</v>
      </c>
      <c r="X115">
        <v>8.386689149312742E-3</v>
      </c>
      <c r="Y115" t="s">
        <v>77</v>
      </c>
      <c r="AA115" t="s">
        <v>158</v>
      </c>
      <c r="AB115" t="s">
        <v>101</v>
      </c>
      <c r="AC115">
        <v>1.1332280591376772E-2</v>
      </c>
      <c r="AD115" t="s">
        <v>77</v>
      </c>
    </row>
    <row r="116" spans="17:30" x14ac:dyDescent="0.25">
      <c r="Q116" t="s">
        <v>118</v>
      </c>
      <c r="R116" t="s">
        <v>102</v>
      </c>
      <c r="S116">
        <v>7.2521914690661965E-2</v>
      </c>
      <c r="T116" t="s">
        <v>77</v>
      </c>
      <c r="V116" t="s">
        <v>138</v>
      </c>
      <c r="W116" t="s">
        <v>102</v>
      </c>
      <c r="X116">
        <v>1.0530788125202615E-2</v>
      </c>
      <c r="Y116" t="s">
        <v>77</v>
      </c>
      <c r="AA116" t="s">
        <v>158</v>
      </c>
      <c r="AB116" t="s">
        <v>102</v>
      </c>
      <c r="AC116">
        <v>1.3063181812106275E-2</v>
      </c>
      <c r="AD116" t="s">
        <v>77</v>
      </c>
    </row>
    <row r="117" spans="17:30" x14ac:dyDescent="0.25">
      <c r="Q117" t="s">
        <v>118</v>
      </c>
      <c r="R117" t="s">
        <v>103</v>
      </c>
      <c r="S117">
        <v>6.4271533173448206E-2</v>
      </c>
      <c r="T117" t="s">
        <v>77</v>
      </c>
      <c r="V117" t="s">
        <v>138</v>
      </c>
      <c r="W117" t="s">
        <v>103</v>
      </c>
      <c r="X117">
        <v>1.1483661119159494E-2</v>
      </c>
      <c r="Y117" t="s">
        <v>77</v>
      </c>
      <c r="AA117" t="s">
        <v>158</v>
      </c>
      <c r="AB117" t="s">
        <v>103</v>
      </c>
      <c r="AC117">
        <v>1.4651688979707121E-2</v>
      </c>
      <c r="AD117" t="s">
        <v>77</v>
      </c>
    </row>
    <row r="118" spans="17:30" x14ac:dyDescent="0.25">
      <c r="Q118" t="s">
        <v>118</v>
      </c>
      <c r="R118" t="s">
        <v>104</v>
      </c>
      <c r="S118">
        <v>4.4813077097968661E-2</v>
      </c>
      <c r="T118" t="s">
        <v>77</v>
      </c>
      <c r="V118" t="s">
        <v>138</v>
      </c>
      <c r="W118" t="s">
        <v>104</v>
      </c>
      <c r="X118">
        <v>1.0506559555485762E-2</v>
      </c>
      <c r="Y118" t="s">
        <v>77</v>
      </c>
      <c r="AA118" t="s">
        <v>158</v>
      </c>
      <c r="AB118" t="s">
        <v>104</v>
      </c>
      <c r="AC118">
        <v>1.4527471435440966E-2</v>
      </c>
      <c r="AD118" t="s">
        <v>77</v>
      </c>
    </row>
    <row r="119" spans="17:30" x14ac:dyDescent="0.25">
      <c r="Q119" t="s">
        <v>118</v>
      </c>
      <c r="R119" t="s">
        <v>105</v>
      </c>
      <c r="S119">
        <v>1.5259164302245201E-2</v>
      </c>
      <c r="T119" t="s">
        <v>77</v>
      </c>
      <c r="V119" t="s">
        <v>138</v>
      </c>
      <c r="W119" t="s">
        <v>105</v>
      </c>
      <c r="X119">
        <v>1.1832024031289022E-2</v>
      </c>
      <c r="Y119" t="s">
        <v>77</v>
      </c>
      <c r="AA119" t="s">
        <v>158</v>
      </c>
      <c r="AB119" t="s">
        <v>105</v>
      </c>
      <c r="AC119">
        <v>1.3893703487295741E-2</v>
      </c>
      <c r="AD119" t="s">
        <v>77</v>
      </c>
    </row>
    <row r="120" spans="17:30" x14ac:dyDescent="0.25">
      <c r="Q120" t="s">
        <v>118</v>
      </c>
      <c r="R120" t="s">
        <v>106</v>
      </c>
      <c r="S120">
        <v>0</v>
      </c>
      <c r="T120" t="s">
        <v>77</v>
      </c>
      <c r="V120" t="s">
        <v>138</v>
      </c>
      <c r="W120" t="s">
        <v>106</v>
      </c>
      <c r="X120">
        <v>2.0826951935608566E-2</v>
      </c>
      <c r="Y120" t="s">
        <v>77</v>
      </c>
      <c r="AA120" t="s">
        <v>158</v>
      </c>
      <c r="AB120" t="s">
        <v>106</v>
      </c>
      <c r="AC120">
        <v>2.0484605628673505E-2</v>
      </c>
      <c r="AD120" t="s">
        <v>77</v>
      </c>
    </row>
    <row r="121" spans="17:30" x14ac:dyDescent="0.25">
      <c r="Q121" t="s">
        <v>118</v>
      </c>
      <c r="R121" t="s">
        <v>107</v>
      </c>
      <c r="S121">
        <v>0</v>
      </c>
      <c r="T121" t="s">
        <v>77</v>
      </c>
      <c r="V121" t="s">
        <v>138</v>
      </c>
      <c r="W121" t="s">
        <v>107</v>
      </c>
      <c r="X121">
        <v>5.6261768739443788E-2</v>
      </c>
      <c r="Y121" t="s">
        <v>77</v>
      </c>
      <c r="AA121" t="s">
        <v>158</v>
      </c>
      <c r="AB121" t="s">
        <v>107</v>
      </c>
      <c r="AC121">
        <v>5.4853512532730936E-2</v>
      </c>
      <c r="AD121" t="s">
        <v>77</v>
      </c>
    </row>
    <row r="122" spans="17:30" x14ac:dyDescent="0.25">
      <c r="Q122" t="s">
        <v>118</v>
      </c>
      <c r="R122" t="s">
        <v>108</v>
      </c>
      <c r="S122">
        <v>6.731684605828153E-4</v>
      </c>
      <c r="T122" t="s">
        <v>77</v>
      </c>
      <c r="V122" t="s">
        <v>138</v>
      </c>
      <c r="W122" t="s">
        <v>108</v>
      </c>
      <c r="X122">
        <v>2.1371586933899761E-2</v>
      </c>
      <c r="Y122" t="s">
        <v>77</v>
      </c>
      <c r="AA122" t="s">
        <v>158</v>
      </c>
      <c r="AB122" t="s">
        <v>108</v>
      </c>
      <c r="AC122">
        <v>2.1789625465007966E-2</v>
      </c>
      <c r="AD122" t="s">
        <v>77</v>
      </c>
    </row>
    <row r="123" spans="17:30" x14ac:dyDescent="0.25">
      <c r="Q123" t="s">
        <v>118</v>
      </c>
      <c r="R123" t="s">
        <v>109</v>
      </c>
      <c r="S123">
        <v>1.5512407411554855E-2</v>
      </c>
      <c r="T123" t="s">
        <v>77</v>
      </c>
      <c r="V123" t="s">
        <v>138</v>
      </c>
      <c r="W123" t="s">
        <v>109</v>
      </c>
      <c r="X123">
        <v>2.0120574811434259E-2</v>
      </c>
      <c r="Y123" t="s">
        <v>77</v>
      </c>
      <c r="AA123" t="s">
        <v>158</v>
      </c>
      <c r="AB123" t="s">
        <v>109</v>
      </c>
      <c r="AC123">
        <v>2.1804124537714312E-2</v>
      </c>
      <c r="AD123" t="s">
        <v>77</v>
      </c>
    </row>
    <row r="124" spans="17:30" x14ac:dyDescent="0.25">
      <c r="Q124" t="s">
        <v>118</v>
      </c>
      <c r="R124" t="s">
        <v>110</v>
      </c>
      <c r="S124">
        <v>3.5700434734184903E-2</v>
      </c>
      <c r="T124" t="s">
        <v>77</v>
      </c>
      <c r="V124" t="s">
        <v>138</v>
      </c>
      <c r="W124" t="s">
        <v>110</v>
      </c>
      <c r="X124">
        <v>1.863472044384545E-2</v>
      </c>
      <c r="Y124" t="s">
        <v>77</v>
      </c>
      <c r="AA124" t="s">
        <v>158</v>
      </c>
      <c r="AB124" t="s">
        <v>110</v>
      </c>
      <c r="AC124">
        <v>2.1824314439446851E-2</v>
      </c>
      <c r="AD124" t="s">
        <v>77</v>
      </c>
    </row>
    <row r="125" spans="17:30" x14ac:dyDescent="0.25">
      <c r="Q125" t="s">
        <v>118</v>
      </c>
      <c r="R125" t="s">
        <v>111</v>
      </c>
      <c r="S125">
        <v>4.1848914737161187E-2</v>
      </c>
      <c r="T125" t="s">
        <v>77</v>
      </c>
      <c r="V125" t="s">
        <v>138</v>
      </c>
      <c r="W125" t="s">
        <v>111</v>
      </c>
      <c r="X125">
        <v>1.7656525310793033E-2</v>
      </c>
      <c r="Y125" t="s">
        <v>77</v>
      </c>
      <c r="AA125" t="s">
        <v>158</v>
      </c>
      <c r="AB125" t="s">
        <v>111</v>
      </c>
      <c r="AC125">
        <v>2.1066117970412704E-2</v>
      </c>
      <c r="AD125" t="s">
        <v>77</v>
      </c>
    </row>
    <row r="126" spans="17:30" x14ac:dyDescent="0.25">
      <c r="Q126" t="s">
        <v>118</v>
      </c>
      <c r="R126" t="s">
        <v>112</v>
      </c>
      <c r="S126">
        <v>4.1066724576004854E-2</v>
      </c>
      <c r="T126" t="s">
        <v>77</v>
      </c>
      <c r="V126" t="s">
        <v>138</v>
      </c>
      <c r="W126" t="s">
        <v>112</v>
      </c>
      <c r="X126">
        <v>1.8862631681612799E-2</v>
      </c>
      <c r="Y126" t="s">
        <v>77</v>
      </c>
      <c r="AA126" t="s">
        <v>158</v>
      </c>
      <c r="AB126" t="s">
        <v>112</v>
      </c>
      <c r="AC126">
        <v>2.0975402745110654E-2</v>
      </c>
      <c r="AD126" t="s">
        <v>77</v>
      </c>
    </row>
    <row r="127" spans="17:30" x14ac:dyDescent="0.25">
      <c r="Q127" t="s">
        <v>118</v>
      </c>
      <c r="R127" t="s">
        <v>113</v>
      </c>
      <c r="S127">
        <v>2.9310555105817759E-2</v>
      </c>
      <c r="T127" t="s">
        <v>77</v>
      </c>
      <c r="V127" t="s">
        <v>138</v>
      </c>
      <c r="W127" t="s">
        <v>113</v>
      </c>
      <c r="X127">
        <v>2.0276596817385185E-2</v>
      </c>
      <c r="Y127" t="s">
        <v>77</v>
      </c>
      <c r="AA127" t="s">
        <v>158</v>
      </c>
      <c r="AB127" t="s">
        <v>113</v>
      </c>
      <c r="AC127">
        <v>2.2202941330181941E-2</v>
      </c>
      <c r="AD127" t="s">
        <v>77</v>
      </c>
    </row>
    <row r="128" spans="17:30" x14ac:dyDescent="0.25">
      <c r="Q128" t="s">
        <v>118</v>
      </c>
      <c r="R128" t="s">
        <v>114</v>
      </c>
      <c r="S128">
        <v>7.9125413713990456E-3</v>
      </c>
      <c r="T128" t="s">
        <v>77</v>
      </c>
      <c r="V128" t="s">
        <v>138</v>
      </c>
      <c r="W128" t="s">
        <v>114</v>
      </c>
      <c r="X128">
        <v>2.2215567132539665E-2</v>
      </c>
      <c r="Y128" t="s">
        <v>77</v>
      </c>
      <c r="AA128" t="s">
        <v>158</v>
      </c>
      <c r="AB128" t="s">
        <v>114</v>
      </c>
      <c r="AC128">
        <v>2.3359971434760145E-2</v>
      </c>
      <c r="AD128" t="s">
        <v>77</v>
      </c>
    </row>
    <row r="129" spans="17:30" x14ac:dyDescent="0.25">
      <c r="Q129" t="s">
        <v>118</v>
      </c>
      <c r="R129" t="s">
        <v>115</v>
      </c>
      <c r="S129">
        <v>2.1109788960211287E-5</v>
      </c>
      <c r="T129" t="s">
        <v>77</v>
      </c>
      <c r="V129" t="s">
        <v>138</v>
      </c>
      <c r="W129" t="s">
        <v>115</v>
      </c>
      <c r="X129">
        <v>2.3839795486422243E-2</v>
      </c>
      <c r="Y129" t="s">
        <v>77</v>
      </c>
      <c r="AA129" t="s">
        <v>158</v>
      </c>
      <c r="AB129" t="s">
        <v>115</v>
      </c>
      <c r="AC129">
        <v>2.391677075228581E-2</v>
      </c>
      <c r="AD129" t="s">
        <v>77</v>
      </c>
    </row>
    <row r="130" spans="17:30" x14ac:dyDescent="0.25">
      <c r="Q130" t="s">
        <v>118</v>
      </c>
      <c r="R130" t="s">
        <v>116</v>
      </c>
      <c r="S130">
        <v>0</v>
      </c>
      <c r="T130" t="s">
        <v>77</v>
      </c>
      <c r="V130" t="s">
        <v>138</v>
      </c>
      <c r="W130" t="s">
        <v>116</v>
      </c>
      <c r="X130">
        <v>3.6516389427252424E-2</v>
      </c>
      <c r="Y130" t="s">
        <v>77</v>
      </c>
      <c r="AA130" t="s">
        <v>158</v>
      </c>
      <c r="AB130" t="s">
        <v>116</v>
      </c>
      <c r="AC130">
        <v>3.5250086897907366E-2</v>
      </c>
      <c r="AD130" t="s">
        <v>77</v>
      </c>
    </row>
    <row r="131" spans="17:30" x14ac:dyDescent="0.25">
      <c r="Q131" t="s">
        <v>119</v>
      </c>
      <c r="R131" t="s">
        <v>76</v>
      </c>
      <c r="S131">
        <v>0</v>
      </c>
      <c r="T131" t="s">
        <v>77</v>
      </c>
      <c r="V131" t="s">
        <v>139</v>
      </c>
      <c r="W131" t="s">
        <v>76</v>
      </c>
      <c r="X131">
        <v>7.329578789337661E-2</v>
      </c>
      <c r="Y131" t="s">
        <v>77</v>
      </c>
      <c r="AA131" t="s">
        <v>159</v>
      </c>
      <c r="AB131" t="s">
        <v>76</v>
      </c>
      <c r="AC131">
        <v>5.8262639212904858E-2</v>
      </c>
      <c r="AD131" t="s">
        <v>77</v>
      </c>
    </row>
    <row r="132" spans="17:30" x14ac:dyDescent="0.25">
      <c r="Q132" t="s">
        <v>119</v>
      </c>
      <c r="R132" t="s">
        <v>78</v>
      </c>
      <c r="S132">
        <v>0</v>
      </c>
      <c r="T132" t="s">
        <v>77</v>
      </c>
      <c r="V132" t="s">
        <v>139</v>
      </c>
      <c r="W132" t="s">
        <v>78</v>
      </c>
      <c r="X132">
        <v>2.9348512877830257E-2</v>
      </c>
      <c r="Y132" t="s">
        <v>77</v>
      </c>
      <c r="AA132" t="s">
        <v>159</v>
      </c>
      <c r="AB132" t="s">
        <v>78</v>
      </c>
      <c r="AC132">
        <v>2.4249067042957231E-2</v>
      </c>
      <c r="AD132" t="s">
        <v>77</v>
      </c>
    </row>
    <row r="133" spans="17:30" x14ac:dyDescent="0.25">
      <c r="Q133" t="s">
        <v>119</v>
      </c>
      <c r="R133" t="s">
        <v>79</v>
      </c>
      <c r="S133">
        <v>3.3399334107021036E-4</v>
      </c>
      <c r="T133" t="s">
        <v>77</v>
      </c>
      <c r="V133" t="s">
        <v>139</v>
      </c>
      <c r="W133" t="s">
        <v>79</v>
      </c>
      <c r="X133">
        <v>2.9448683782920135E-2</v>
      </c>
      <c r="Y133" t="s">
        <v>77</v>
      </c>
      <c r="AA133" t="s">
        <v>159</v>
      </c>
      <c r="AB133" t="s">
        <v>79</v>
      </c>
      <c r="AC133">
        <v>2.4293652838079868E-2</v>
      </c>
      <c r="AD133" t="s">
        <v>77</v>
      </c>
    </row>
    <row r="134" spans="17:30" x14ac:dyDescent="0.25">
      <c r="Q134" t="s">
        <v>119</v>
      </c>
      <c r="R134" t="s">
        <v>80</v>
      </c>
      <c r="S134">
        <v>1.1967938598681354E-2</v>
      </c>
      <c r="T134" t="s">
        <v>77</v>
      </c>
      <c r="V134" t="s">
        <v>139</v>
      </c>
      <c r="W134" t="s">
        <v>80</v>
      </c>
      <c r="X134">
        <v>2.8186301808709721E-2</v>
      </c>
      <c r="Y134" t="s">
        <v>77</v>
      </c>
      <c r="AA134" t="s">
        <v>159</v>
      </c>
      <c r="AB134" t="s">
        <v>80</v>
      </c>
      <c r="AC134">
        <v>2.4236724822290962E-2</v>
      </c>
      <c r="AD134" t="s">
        <v>77</v>
      </c>
    </row>
    <row r="135" spans="17:30" x14ac:dyDescent="0.25">
      <c r="Q135" t="s">
        <v>119</v>
      </c>
      <c r="R135" t="s">
        <v>81</v>
      </c>
      <c r="S135">
        <v>2.2708413776066454E-2</v>
      </c>
      <c r="T135" t="s">
        <v>77</v>
      </c>
      <c r="V135" t="s">
        <v>139</v>
      </c>
      <c r="W135" t="s">
        <v>81</v>
      </c>
      <c r="X135">
        <v>2.6109091586011116E-2</v>
      </c>
      <c r="Y135" t="s">
        <v>77</v>
      </c>
      <c r="AA135" t="s">
        <v>159</v>
      </c>
      <c r="AB135" t="s">
        <v>81</v>
      </c>
      <c r="AC135">
        <v>2.443682732234009E-2</v>
      </c>
      <c r="AD135" t="s">
        <v>77</v>
      </c>
    </row>
    <row r="136" spans="17:30" x14ac:dyDescent="0.25">
      <c r="Q136" t="s">
        <v>119</v>
      </c>
      <c r="R136" t="s">
        <v>82</v>
      </c>
      <c r="S136">
        <v>2.1595949434817432E-2</v>
      </c>
      <c r="T136" t="s">
        <v>77</v>
      </c>
      <c r="V136" t="s">
        <v>139</v>
      </c>
      <c r="W136" t="s">
        <v>82</v>
      </c>
      <c r="X136">
        <v>2.6518864427280832E-2</v>
      </c>
      <c r="Y136" t="s">
        <v>77</v>
      </c>
      <c r="AA136" t="s">
        <v>159</v>
      </c>
      <c r="AB136" t="s">
        <v>82</v>
      </c>
      <c r="AC136">
        <v>2.4379416681393644E-2</v>
      </c>
      <c r="AD136" t="s">
        <v>77</v>
      </c>
    </row>
    <row r="137" spans="17:30" x14ac:dyDescent="0.25">
      <c r="Q137" t="s">
        <v>119</v>
      </c>
      <c r="R137" t="s">
        <v>83</v>
      </c>
      <c r="S137">
        <v>1.2014264207350359E-2</v>
      </c>
      <c r="T137" t="s">
        <v>77</v>
      </c>
      <c r="V137" t="s">
        <v>139</v>
      </c>
      <c r="W137" t="s">
        <v>83</v>
      </c>
      <c r="X137">
        <v>2.7876296494378252E-2</v>
      </c>
      <c r="Y137" t="s">
        <v>77</v>
      </c>
      <c r="AA137" t="s">
        <v>159</v>
      </c>
      <c r="AB137" t="s">
        <v>83</v>
      </c>
      <c r="AC137">
        <v>2.48257172841122E-2</v>
      </c>
      <c r="AD137" t="s">
        <v>77</v>
      </c>
    </row>
    <row r="138" spans="17:30" x14ac:dyDescent="0.25">
      <c r="Q138" t="s">
        <v>119</v>
      </c>
      <c r="R138" t="s">
        <v>84</v>
      </c>
      <c r="S138">
        <v>1.2467238846203303E-3</v>
      </c>
      <c r="T138" t="s">
        <v>77</v>
      </c>
      <c r="V138" t="s">
        <v>139</v>
      </c>
      <c r="W138" t="s">
        <v>84</v>
      </c>
      <c r="X138">
        <v>2.9920019850836432E-2</v>
      </c>
      <c r="Y138" t="s">
        <v>77</v>
      </c>
      <c r="AA138" t="s">
        <v>159</v>
      </c>
      <c r="AB138" t="s">
        <v>84</v>
      </c>
      <c r="AC138">
        <v>2.5125954376079236E-2</v>
      </c>
      <c r="AD138" t="s">
        <v>77</v>
      </c>
    </row>
    <row r="139" spans="17:30" x14ac:dyDescent="0.25">
      <c r="Q139" t="s">
        <v>119</v>
      </c>
      <c r="R139" t="s">
        <v>85</v>
      </c>
      <c r="S139">
        <v>0</v>
      </c>
      <c r="T139" t="s">
        <v>77</v>
      </c>
      <c r="V139" t="s">
        <v>139</v>
      </c>
      <c r="W139" t="s">
        <v>85</v>
      </c>
      <c r="X139">
        <v>3.0338806491132332E-2</v>
      </c>
      <c r="Y139" t="s">
        <v>77</v>
      </c>
      <c r="AA139" t="s">
        <v>159</v>
      </c>
      <c r="AB139" t="s">
        <v>85</v>
      </c>
      <c r="AC139">
        <v>2.4941312878624812E-2</v>
      </c>
      <c r="AD139" t="s">
        <v>77</v>
      </c>
    </row>
    <row r="140" spans="17:30" x14ac:dyDescent="0.25">
      <c r="Q140" t="s">
        <v>119</v>
      </c>
      <c r="R140" t="s">
        <v>86</v>
      </c>
      <c r="S140">
        <v>0</v>
      </c>
      <c r="T140" t="s">
        <v>77</v>
      </c>
      <c r="V140" t="s">
        <v>139</v>
      </c>
      <c r="W140" t="s">
        <v>86</v>
      </c>
      <c r="X140">
        <v>4.4958933096773589E-2</v>
      </c>
      <c r="Y140" t="s">
        <v>77</v>
      </c>
      <c r="AA140" t="s">
        <v>159</v>
      </c>
      <c r="AB140" t="s">
        <v>86</v>
      </c>
      <c r="AC140">
        <v>3.6084591983897171E-2</v>
      </c>
      <c r="AD140" t="s">
        <v>77</v>
      </c>
    </row>
    <row r="141" spans="17:30" x14ac:dyDescent="0.25">
      <c r="Q141" t="s">
        <v>119</v>
      </c>
      <c r="R141" t="s">
        <v>87</v>
      </c>
      <c r="S141">
        <v>0</v>
      </c>
      <c r="T141" t="s">
        <v>77</v>
      </c>
      <c r="V141" t="s">
        <v>139</v>
      </c>
      <c r="W141" t="s">
        <v>87</v>
      </c>
      <c r="X141">
        <v>6.0741620846952032E-2</v>
      </c>
      <c r="Y141" t="s">
        <v>77</v>
      </c>
      <c r="AA141" t="s">
        <v>159</v>
      </c>
      <c r="AB141" t="s">
        <v>87</v>
      </c>
      <c r="AC141">
        <v>5.8846680640645174E-2</v>
      </c>
      <c r="AD141" t="s">
        <v>77</v>
      </c>
    </row>
    <row r="142" spans="17:30" x14ac:dyDescent="0.25">
      <c r="Q142" t="s">
        <v>119</v>
      </c>
      <c r="R142" t="s">
        <v>88</v>
      </c>
      <c r="S142">
        <v>8.176079743002709E-3</v>
      </c>
      <c r="T142" t="s">
        <v>77</v>
      </c>
      <c r="V142" t="s">
        <v>139</v>
      </c>
      <c r="W142" t="s">
        <v>88</v>
      </c>
      <c r="X142">
        <v>2.3203209181734449E-2</v>
      </c>
      <c r="Y142" t="s">
        <v>77</v>
      </c>
      <c r="AA142" t="s">
        <v>159</v>
      </c>
      <c r="AB142" t="s">
        <v>88</v>
      </c>
      <c r="AC142">
        <v>2.2212419922452084E-2</v>
      </c>
      <c r="AD142" t="s">
        <v>77</v>
      </c>
    </row>
    <row r="143" spans="17:30" x14ac:dyDescent="0.25">
      <c r="Q143" t="s">
        <v>119</v>
      </c>
      <c r="R143" t="s">
        <v>89</v>
      </c>
      <c r="S143">
        <v>3.9274897887603785E-2</v>
      </c>
      <c r="T143" t="s">
        <v>77</v>
      </c>
      <c r="V143" t="s">
        <v>139</v>
      </c>
      <c r="W143" t="s">
        <v>89</v>
      </c>
      <c r="X143">
        <v>2.0436874234185165E-2</v>
      </c>
      <c r="Y143" t="s">
        <v>77</v>
      </c>
      <c r="AA143" t="s">
        <v>159</v>
      </c>
      <c r="AB143" t="s">
        <v>89</v>
      </c>
      <c r="AC143">
        <v>2.1707025311873022E-2</v>
      </c>
      <c r="AD143" t="s">
        <v>77</v>
      </c>
    </row>
    <row r="144" spans="17:30" x14ac:dyDescent="0.25">
      <c r="Q144" t="s">
        <v>119</v>
      </c>
      <c r="R144" t="s">
        <v>90</v>
      </c>
      <c r="S144">
        <v>6.7260884955442107E-2</v>
      </c>
      <c r="T144" t="s">
        <v>77</v>
      </c>
      <c r="V144" t="s">
        <v>139</v>
      </c>
      <c r="W144" t="s">
        <v>90</v>
      </c>
      <c r="X144">
        <v>1.9775355760568401E-2</v>
      </c>
      <c r="Y144" t="s">
        <v>77</v>
      </c>
      <c r="AA144" t="s">
        <v>159</v>
      </c>
      <c r="AB144" t="s">
        <v>90</v>
      </c>
      <c r="AC144">
        <v>2.1559149612169017E-2</v>
      </c>
      <c r="AD144" t="s">
        <v>77</v>
      </c>
    </row>
    <row r="145" spans="17:30" x14ac:dyDescent="0.25">
      <c r="Q145" t="s">
        <v>119</v>
      </c>
      <c r="R145" t="s">
        <v>91</v>
      </c>
      <c r="S145">
        <v>7.257562876671475E-2</v>
      </c>
      <c r="T145" t="s">
        <v>77</v>
      </c>
      <c r="V145" t="s">
        <v>139</v>
      </c>
      <c r="W145" t="s">
        <v>91</v>
      </c>
      <c r="X145">
        <v>1.7621784872487348E-2</v>
      </c>
      <c r="Y145" t="s">
        <v>77</v>
      </c>
      <c r="AA145" t="s">
        <v>159</v>
      </c>
      <c r="AB145" t="s">
        <v>91</v>
      </c>
      <c r="AC145">
        <v>2.0393469051034913E-2</v>
      </c>
      <c r="AD145" t="s">
        <v>77</v>
      </c>
    </row>
    <row r="146" spans="17:30" x14ac:dyDescent="0.25">
      <c r="Q146" t="s">
        <v>119</v>
      </c>
      <c r="R146" t="s">
        <v>92</v>
      </c>
      <c r="S146">
        <v>6.6361344850698945E-2</v>
      </c>
      <c r="T146" t="s">
        <v>77</v>
      </c>
      <c r="V146" t="s">
        <v>139</v>
      </c>
      <c r="W146" t="s">
        <v>92</v>
      </c>
      <c r="X146">
        <v>2.0124011932565491E-2</v>
      </c>
      <c r="Y146" t="s">
        <v>77</v>
      </c>
      <c r="AA146" t="s">
        <v>159</v>
      </c>
      <c r="AB146" t="s">
        <v>92</v>
      </c>
      <c r="AC146">
        <v>2.0864253624514006E-2</v>
      </c>
      <c r="AD146" t="s">
        <v>77</v>
      </c>
    </row>
    <row r="147" spans="17:30" x14ac:dyDescent="0.25">
      <c r="Q147" t="s">
        <v>119</v>
      </c>
      <c r="R147" t="s">
        <v>93</v>
      </c>
      <c r="S147">
        <v>5.5943493945162924E-2</v>
      </c>
      <c r="T147" t="s">
        <v>77</v>
      </c>
      <c r="V147" t="s">
        <v>139</v>
      </c>
      <c r="W147" t="s">
        <v>93</v>
      </c>
      <c r="X147">
        <v>2.0316998792075991E-2</v>
      </c>
      <c r="Y147" t="s">
        <v>77</v>
      </c>
      <c r="AA147" t="s">
        <v>159</v>
      </c>
      <c r="AB147" t="s">
        <v>93</v>
      </c>
      <c r="AC147">
        <v>2.1991950549416123E-2</v>
      </c>
      <c r="AD147" t="s">
        <v>77</v>
      </c>
    </row>
    <row r="148" spans="17:30" x14ac:dyDescent="0.25">
      <c r="Q148" t="s">
        <v>119</v>
      </c>
      <c r="R148" t="s">
        <v>94</v>
      </c>
      <c r="S148">
        <v>3.1094739212780064E-2</v>
      </c>
      <c r="T148" t="s">
        <v>77</v>
      </c>
      <c r="V148" t="s">
        <v>139</v>
      </c>
      <c r="W148" t="s">
        <v>94</v>
      </c>
      <c r="X148">
        <v>2.1328800126252115E-2</v>
      </c>
      <c r="Y148" t="s">
        <v>77</v>
      </c>
      <c r="AA148" t="s">
        <v>159</v>
      </c>
      <c r="AB148" t="s">
        <v>94</v>
      </c>
      <c r="AC148">
        <v>2.2991250327636971E-2</v>
      </c>
      <c r="AD148" t="s">
        <v>77</v>
      </c>
    </row>
    <row r="149" spans="17:30" x14ac:dyDescent="0.25">
      <c r="Q149" t="s">
        <v>119</v>
      </c>
      <c r="R149" t="s">
        <v>95</v>
      </c>
      <c r="S149">
        <v>5.3776678204954728E-3</v>
      </c>
      <c r="T149" t="s">
        <v>77</v>
      </c>
      <c r="V149" t="s">
        <v>139</v>
      </c>
      <c r="W149" t="s">
        <v>95</v>
      </c>
      <c r="X149">
        <v>2.4934213942210025E-2</v>
      </c>
      <c r="Y149" t="s">
        <v>77</v>
      </c>
      <c r="AA149" t="s">
        <v>159</v>
      </c>
      <c r="AB149" t="s">
        <v>95</v>
      </c>
      <c r="AC149">
        <v>2.4109729591891362E-2</v>
      </c>
      <c r="AD149" t="s">
        <v>77</v>
      </c>
    </row>
    <row r="150" spans="17:30" x14ac:dyDescent="0.25">
      <c r="Q150" t="s">
        <v>119</v>
      </c>
      <c r="R150" t="s">
        <v>96</v>
      </c>
      <c r="S150">
        <v>0</v>
      </c>
      <c r="T150" t="s">
        <v>77</v>
      </c>
      <c r="V150" t="s">
        <v>139</v>
      </c>
      <c r="W150" t="s">
        <v>96</v>
      </c>
      <c r="X150">
        <v>3.780561833550989E-2</v>
      </c>
      <c r="Y150" t="s">
        <v>77</v>
      </c>
      <c r="AA150" t="s">
        <v>159</v>
      </c>
      <c r="AB150" t="s">
        <v>96</v>
      </c>
      <c r="AC150">
        <v>3.6575574415077632E-2</v>
      </c>
      <c r="AD150" t="s">
        <v>77</v>
      </c>
    </row>
    <row r="151" spans="17:30" x14ac:dyDescent="0.25">
      <c r="Q151" t="s">
        <v>119</v>
      </c>
      <c r="R151" t="s">
        <v>97</v>
      </c>
      <c r="S151">
        <v>0</v>
      </c>
      <c r="T151" t="s">
        <v>77</v>
      </c>
      <c r="V151" t="s">
        <v>139</v>
      </c>
      <c r="W151" t="s">
        <v>97</v>
      </c>
      <c r="X151">
        <v>2.9847529749421398E-2</v>
      </c>
      <c r="Y151" t="s">
        <v>77</v>
      </c>
      <c r="AA151" t="s">
        <v>159</v>
      </c>
      <c r="AB151" t="s">
        <v>97</v>
      </c>
      <c r="AC151">
        <v>3.9180492546155708E-2</v>
      </c>
      <c r="AD151" t="s">
        <v>77</v>
      </c>
    </row>
    <row r="152" spans="17:30" x14ac:dyDescent="0.25">
      <c r="Q152" t="s">
        <v>119</v>
      </c>
      <c r="R152" t="s">
        <v>98</v>
      </c>
      <c r="S152">
        <v>1.7924569035351806E-2</v>
      </c>
      <c r="T152" t="s">
        <v>77</v>
      </c>
      <c r="V152" t="s">
        <v>139</v>
      </c>
      <c r="W152" t="s">
        <v>98</v>
      </c>
      <c r="X152">
        <v>9.782646660612699E-3</v>
      </c>
      <c r="Y152" t="s">
        <v>77</v>
      </c>
      <c r="AA152" t="s">
        <v>159</v>
      </c>
      <c r="AB152" t="s">
        <v>98</v>
      </c>
      <c r="AC152">
        <v>1.4908044245842992E-2</v>
      </c>
      <c r="AD152" t="s">
        <v>77</v>
      </c>
    </row>
    <row r="153" spans="17:30" x14ac:dyDescent="0.25">
      <c r="Q153" t="s">
        <v>119</v>
      </c>
      <c r="R153" t="s">
        <v>99</v>
      </c>
      <c r="S153">
        <v>5.2622757647993269E-2</v>
      </c>
      <c r="T153" t="s">
        <v>77</v>
      </c>
      <c r="V153" t="s">
        <v>139</v>
      </c>
      <c r="W153" t="s">
        <v>99</v>
      </c>
      <c r="X153">
        <v>7.3957999162312287E-3</v>
      </c>
      <c r="Y153" t="s">
        <v>77</v>
      </c>
      <c r="AA153" t="s">
        <v>159</v>
      </c>
      <c r="AB153" t="s">
        <v>99</v>
      </c>
      <c r="AC153">
        <v>1.4394101463631147E-2</v>
      </c>
      <c r="AD153" t="s">
        <v>77</v>
      </c>
    </row>
    <row r="154" spans="17:30" x14ac:dyDescent="0.25">
      <c r="Q154" t="s">
        <v>119</v>
      </c>
      <c r="R154" t="s">
        <v>100</v>
      </c>
      <c r="S154">
        <v>7.4030398699929764E-2</v>
      </c>
      <c r="T154" t="s">
        <v>77</v>
      </c>
      <c r="V154" t="s">
        <v>139</v>
      </c>
      <c r="W154" t="s">
        <v>100</v>
      </c>
      <c r="X154">
        <v>8.5315603248576899E-3</v>
      </c>
      <c r="Y154" t="s">
        <v>77</v>
      </c>
      <c r="AA154" t="s">
        <v>159</v>
      </c>
      <c r="AB154" t="s">
        <v>100</v>
      </c>
      <c r="AC154">
        <v>1.4656818104378187E-2</v>
      </c>
      <c r="AD154" t="s">
        <v>77</v>
      </c>
    </row>
    <row r="155" spans="17:30" x14ac:dyDescent="0.25">
      <c r="Q155" t="s">
        <v>119</v>
      </c>
      <c r="R155" t="s">
        <v>101</v>
      </c>
      <c r="S155">
        <v>7.7389092818786878E-2</v>
      </c>
      <c r="T155" t="s">
        <v>77</v>
      </c>
      <c r="V155" t="s">
        <v>139</v>
      </c>
      <c r="W155" t="s">
        <v>101</v>
      </c>
      <c r="X155">
        <v>7.5912060056848368E-3</v>
      </c>
      <c r="Y155" t="s">
        <v>77</v>
      </c>
      <c r="AA155" t="s">
        <v>159</v>
      </c>
      <c r="AB155" t="s">
        <v>101</v>
      </c>
      <c r="AC155">
        <v>1.3454898294704636E-2</v>
      </c>
      <c r="AD155" t="s">
        <v>77</v>
      </c>
    </row>
    <row r="156" spans="17:30" x14ac:dyDescent="0.25">
      <c r="Q156" t="s">
        <v>119</v>
      </c>
      <c r="R156" t="s">
        <v>102</v>
      </c>
      <c r="S156">
        <v>7.5116197253771722E-2</v>
      </c>
      <c r="T156" t="s">
        <v>77</v>
      </c>
      <c r="V156" t="s">
        <v>139</v>
      </c>
      <c r="W156" t="s">
        <v>102</v>
      </c>
      <c r="X156">
        <v>8.9740981028530228E-3</v>
      </c>
      <c r="Y156" t="s">
        <v>77</v>
      </c>
      <c r="AA156" t="s">
        <v>159</v>
      </c>
      <c r="AB156" t="s">
        <v>102</v>
      </c>
      <c r="AC156">
        <v>1.4355931628156829E-2</v>
      </c>
      <c r="AD156" t="s">
        <v>77</v>
      </c>
    </row>
    <row r="157" spans="17:30" x14ac:dyDescent="0.25">
      <c r="Q157" t="s">
        <v>119</v>
      </c>
      <c r="R157" t="s">
        <v>103</v>
      </c>
      <c r="S157">
        <v>6.6272850920925858E-2</v>
      </c>
      <c r="T157" t="s">
        <v>77</v>
      </c>
      <c r="V157" t="s">
        <v>139</v>
      </c>
      <c r="W157" t="s">
        <v>103</v>
      </c>
      <c r="X157">
        <v>9.638016474492226E-3</v>
      </c>
      <c r="Y157" t="s">
        <v>77</v>
      </c>
      <c r="AA157" t="s">
        <v>159</v>
      </c>
      <c r="AB157" t="s">
        <v>103</v>
      </c>
      <c r="AC157">
        <v>1.4578878630023329E-2</v>
      </c>
      <c r="AD157" t="s">
        <v>77</v>
      </c>
    </row>
    <row r="158" spans="17:30" x14ac:dyDescent="0.25">
      <c r="Q158" t="s">
        <v>119</v>
      </c>
      <c r="R158" t="s">
        <v>104</v>
      </c>
      <c r="S158">
        <v>4.6322699922271893E-2</v>
      </c>
      <c r="T158" t="s">
        <v>77</v>
      </c>
      <c r="V158" t="s">
        <v>139</v>
      </c>
      <c r="W158" t="s">
        <v>104</v>
      </c>
      <c r="X158">
        <v>8.7967380822415054E-3</v>
      </c>
      <c r="Y158" t="s">
        <v>77</v>
      </c>
      <c r="AA158" t="s">
        <v>159</v>
      </c>
      <c r="AB158" t="s">
        <v>104</v>
      </c>
      <c r="AC158">
        <v>1.4677275312639864E-2</v>
      </c>
      <c r="AD158" t="s">
        <v>77</v>
      </c>
    </row>
    <row r="159" spans="17:30" x14ac:dyDescent="0.25">
      <c r="Q159" t="s">
        <v>119</v>
      </c>
      <c r="R159" t="s">
        <v>105</v>
      </c>
      <c r="S159">
        <v>1.8026208994684656E-2</v>
      </c>
      <c r="T159" t="s">
        <v>77</v>
      </c>
      <c r="V159" t="s">
        <v>139</v>
      </c>
      <c r="W159" t="s">
        <v>105</v>
      </c>
      <c r="X159">
        <v>1.0823590019050004E-2</v>
      </c>
      <c r="Y159" t="s">
        <v>77</v>
      </c>
      <c r="AA159" t="s">
        <v>159</v>
      </c>
      <c r="AB159" t="s">
        <v>105</v>
      </c>
      <c r="AC159">
        <v>1.4562516954009078E-2</v>
      </c>
      <c r="AD159" t="s">
        <v>77</v>
      </c>
    </row>
    <row r="160" spans="17:30" x14ac:dyDescent="0.25">
      <c r="Q160" t="s">
        <v>119</v>
      </c>
      <c r="R160" t="s">
        <v>106</v>
      </c>
      <c r="S160">
        <v>0</v>
      </c>
      <c r="T160" t="s">
        <v>77</v>
      </c>
      <c r="V160" t="s">
        <v>139</v>
      </c>
      <c r="W160" t="s">
        <v>106</v>
      </c>
      <c r="X160">
        <v>1.8688129118355091E-2</v>
      </c>
      <c r="Y160" t="s">
        <v>77</v>
      </c>
      <c r="AA160" t="s">
        <v>159</v>
      </c>
      <c r="AB160" t="s">
        <v>106</v>
      </c>
      <c r="AC160">
        <v>2.3561837761240163E-2</v>
      </c>
      <c r="AD160" t="s">
        <v>77</v>
      </c>
    </row>
    <row r="161" spans="17:30" x14ac:dyDescent="0.25">
      <c r="Q161" t="s">
        <v>119</v>
      </c>
      <c r="R161" t="s">
        <v>107</v>
      </c>
      <c r="S161">
        <v>0</v>
      </c>
      <c r="T161" t="s">
        <v>77</v>
      </c>
      <c r="V161" t="s">
        <v>139</v>
      </c>
      <c r="W161" t="s">
        <v>107</v>
      </c>
      <c r="X161">
        <v>5.9733906177856025E-2</v>
      </c>
      <c r="Y161" t="s">
        <v>77</v>
      </c>
      <c r="AA161" t="s">
        <v>159</v>
      </c>
      <c r="AB161" t="s">
        <v>107</v>
      </c>
      <c r="AC161">
        <v>5.4216606020441163E-2</v>
      </c>
      <c r="AD161" t="s">
        <v>77</v>
      </c>
    </row>
    <row r="162" spans="17:30" x14ac:dyDescent="0.25">
      <c r="Q162" t="s">
        <v>119</v>
      </c>
      <c r="R162" t="s">
        <v>108</v>
      </c>
      <c r="S162">
        <v>2.1980744649166122E-4</v>
      </c>
      <c r="T162" t="s">
        <v>77</v>
      </c>
      <c r="V162" t="s">
        <v>139</v>
      </c>
      <c r="W162" t="s">
        <v>108</v>
      </c>
      <c r="X162">
        <v>2.2565863749547881E-2</v>
      </c>
      <c r="Y162" t="s">
        <v>77</v>
      </c>
      <c r="AA162" t="s">
        <v>159</v>
      </c>
      <c r="AB162" t="s">
        <v>108</v>
      </c>
      <c r="AC162">
        <v>2.1461080702795163E-2</v>
      </c>
      <c r="AD162" t="s">
        <v>77</v>
      </c>
    </row>
    <row r="163" spans="17:30" x14ac:dyDescent="0.25">
      <c r="Q163" t="s">
        <v>119</v>
      </c>
      <c r="R163" t="s">
        <v>109</v>
      </c>
      <c r="S163">
        <v>1.2592262906036735E-2</v>
      </c>
      <c r="T163" t="s">
        <v>77</v>
      </c>
      <c r="V163" t="s">
        <v>139</v>
      </c>
      <c r="W163" t="s">
        <v>109</v>
      </c>
      <c r="X163">
        <v>2.1012636486341059E-2</v>
      </c>
      <c r="Y163" t="s">
        <v>77</v>
      </c>
      <c r="AA163" t="s">
        <v>159</v>
      </c>
      <c r="AB163" t="s">
        <v>109</v>
      </c>
      <c r="AC163">
        <v>2.1989105109186415E-2</v>
      </c>
      <c r="AD163" t="s">
        <v>77</v>
      </c>
    </row>
    <row r="164" spans="17:30" x14ac:dyDescent="0.25">
      <c r="Q164" t="s">
        <v>119</v>
      </c>
      <c r="R164" t="s">
        <v>110</v>
      </c>
      <c r="S164">
        <v>3.0734713010203519E-2</v>
      </c>
      <c r="T164" t="s">
        <v>77</v>
      </c>
      <c r="V164" t="s">
        <v>139</v>
      </c>
      <c r="W164" t="s">
        <v>110</v>
      </c>
      <c r="X164">
        <v>1.9681749889836602E-2</v>
      </c>
      <c r="Y164" t="s">
        <v>77</v>
      </c>
      <c r="AA164" t="s">
        <v>159</v>
      </c>
      <c r="AB164" t="s">
        <v>110</v>
      </c>
      <c r="AC164">
        <v>2.2467142146611316E-2</v>
      </c>
      <c r="AD164" t="s">
        <v>77</v>
      </c>
    </row>
    <row r="165" spans="17:30" x14ac:dyDescent="0.25">
      <c r="Q165" t="s">
        <v>119</v>
      </c>
      <c r="R165" t="s">
        <v>111</v>
      </c>
      <c r="S165">
        <v>3.7818314050846756E-2</v>
      </c>
      <c r="T165" t="s">
        <v>77</v>
      </c>
      <c r="V165" t="s">
        <v>139</v>
      </c>
      <c r="W165" t="s">
        <v>111</v>
      </c>
      <c r="X165">
        <v>1.8420961105670357E-2</v>
      </c>
      <c r="Y165" t="s">
        <v>77</v>
      </c>
      <c r="AA165" t="s">
        <v>159</v>
      </c>
      <c r="AB165" t="s">
        <v>111</v>
      </c>
      <c r="AC165">
        <v>2.1970537989325769E-2</v>
      </c>
      <c r="AD165" t="s">
        <v>77</v>
      </c>
    </row>
    <row r="166" spans="17:30" x14ac:dyDescent="0.25">
      <c r="Q166" t="s">
        <v>119</v>
      </c>
      <c r="R166" t="s">
        <v>112</v>
      </c>
      <c r="S166">
        <v>3.8034851298148202E-2</v>
      </c>
      <c r="T166" t="s">
        <v>77</v>
      </c>
      <c r="V166" t="s">
        <v>139</v>
      </c>
      <c r="W166" t="s">
        <v>112</v>
      </c>
      <c r="X166">
        <v>1.9953407919597831E-2</v>
      </c>
      <c r="Y166" t="s">
        <v>77</v>
      </c>
      <c r="AA166" t="s">
        <v>159</v>
      </c>
      <c r="AB166" t="s">
        <v>112</v>
      </c>
      <c r="AC166">
        <v>2.1284151533843328E-2</v>
      </c>
      <c r="AD166" t="s">
        <v>77</v>
      </c>
    </row>
    <row r="167" spans="17:30" x14ac:dyDescent="0.25">
      <c r="Q167" t="s">
        <v>119</v>
      </c>
      <c r="R167" t="s">
        <v>113</v>
      </c>
      <c r="S167">
        <v>2.8133805760629581E-2</v>
      </c>
      <c r="T167" t="s">
        <v>77</v>
      </c>
      <c r="V167" t="s">
        <v>139</v>
      </c>
      <c r="W167" t="s">
        <v>113</v>
      </c>
      <c r="X167">
        <v>2.1279070307030225E-2</v>
      </c>
      <c r="Y167" t="s">
        <v>77</v>
      </c>
      <c r="AA167" t="s">
        <v>159</v>
      </c>
      <c r="AB167" t="s">
        <v>113</v>
      </c>
      <c r="AC167">
        <v>2.1083033214322089E-2</v>
      </c>
      <c r="AD167" t="s">
        <v>77</v>
      </c>
    </row>
    <row r="168" spans="17:30" x14ac:dyDescent="0.25">
      <c r="Q168" t="s">
        <v>119</v>
      </c>
      <c r="R168" t="s">
        <v>114</v>
      </c>
      <c r="S168">
        <v>8.7436725997844609E-3</v>
      </c>
      <c r="T168" t="s">
        <v>77</v>
      </c>
      <c r="V168" t="s">
        <v>139</v>
      </c>
      <c r="W168" t="s">
        <v>114</v>
      </c>
      <c r="X168">
        <v>2.2861154211922068E-2</v>
      </c>
      <c r="Y168" t="s">
        <v>77</v>
      </c>
      <c r="AA168" t="s">
        <v>159</v>
      </c>
      <c r="AB168" t="s">
        <v>114</v>
      </c>
      <c r="AC168">
        <v>2.1072368000136444E-2</v>
      </c>
      <c r="AD168" t="s">
        <v>77</v>
      </c>
    </row>
    <row r="169" spans="17:30" x14ac:dyDescent="0.25">
      <c r="Q169" t="s">
        <v>119</v>
      </c>
      <c r="R169" t="s">
        <v>115</v>
      </c>
      <c r="S169">
        <v>8.5777209637607135E-5</v>
      </c>
      <c r="T169" t="s">
        <v>77</v>
      </c>
      <c r="V169" t="s">
        <v>139</v>
      </c>
      <c r="W169" t="s">
        <v>115</v>
      </c>
      <c r="X169">
        <v>2.4599158198170018E-2</v>
      </c>
      <c r="Y169" t="s">
        <v>77</v>
      </c>
      <c r="AA169" t="s">
        <v>159</v>
      </c>
      <c r="AB169" t="s">
        <v>115</v>
      </c>
      <c r="AC169">
        <v>2.1415533030767452E-2</v>
      </c>
      <c r="AD169" t="s">
        <v>77</v>
      </c>
    </row>
    <row r="170" spans="17:30" x14ac:dyDescent="0.25">
      <c r="Q170" t="s">
        <v>119</v>
      </c>
      <c r="R170" t="s">
        <v>116</v>
      </c>
      <c r="S170">
        <v>0</v>
      </c>
      <c r="T170" t="s">
        <v>77</v>
      </c>
      <c r="V170" t="s">
        <v>139</v>
      </c>
      <c r="W170" t="s">
        <v>116</v>
      </c>
      <c r="X170">
        <v>3.7532991166438025E-2</v>
      </c>
      <c r="Y170" t="s">
        <v>77</v>
      </c>
      <c r="AA170" t="s">
        <v>159</v>
      </c>
      <c r="AB170" t="s">
        <v>116</v>
      </c>
      <c r="AC170">
        <v>3.2622239822399111E-2</v>
      </c>
      <c r="AD170" t="s">
        <v>77</v>
      </c>
    </row>
    <row r="171" spans="17:30" x14ac:dyDescent="0.25">
      <c r="Q171" t="s">
        <v>120</v>
      </c>
      <c r="R171" t="s">
        <v>76</v>
      </c>
      <c r="S171">
        <v>0</v>
      </c>
      <c r="T171" t="s">
        <v>77</v>
      </c>
      <c r="V171" t="s">
        <v>140</v>
      </c>
      <c r="W171" t="s">
        <v>76</v>
      </c>
      <c r="X171">
        <v>7.1463757215220927E-2</v>
      </c>
      <c r="Y171" t="s">
        <v>77</v>
      </c>
      <c r="AA171" t="s">
        <v>160</v>
      </c>
      <c r="AB171" t="s">
        <v>76</v>
      </c>
      <c r="AC171">
        <v>6.0622255337855237E-2</v>
      </c>
      <c r="AD171" t="s">
        <v>77</v>
      </c>
    </row>
    <row r="172" spans="17:30" x14ac:dyDescent="0.25">
      <c r="Q172" t="s">
        <v>120</v>
      </c>
      <c r="R172" t="s">
        <v>78</v>
      </c>
      <c r="S172">
        <v>0</v>
      </c>
      <c r="T172" t="s">
        <v>77</v>
      </c>
      <c r="V172" t="s">
        <v>140</v>
      </c>
      <c r="W172" t="s">
        <v>78</v>
      </c>
      <c r="X172">
        <v>2.9176417398765041E-2</v>
      </c>
      <c r="Y172" t="s">
        <v>77</v>
      </c>
      <c r="AA172" t="s">
        <v>160</v>
      </c>
      <c r="AB172" t="s">
        <v>78</v>
      </c>
      <c r="AC172">
        <v>2.4496908317804655E-2</v>
      </c>
      <c r="AD172" t="s">
        <v>77</v>
      </c>
    </row>
    <row r="173" spans="17:30" x14ac:dyDescent="0.25">
      <c r="Q173" t="s">
        <v>120</v>
      </c>
      <c r="R173" t="s">
        <v>79</v>
      </c>
      <c r="S173">
        <v>4.3088948751414711E-4</v>
      </c>
      <c r="T173" t="s">
        <v>77</v>
      </c>
      <c r="V173" t="s">
        <v>140</v>
      </c>
      <c r="W173" t="s">
        <v>79</v>
      </c>
      <c r="X173">
        <v>2.907754825764736E-2</v>
      </c>
      <c r="Y173" t="s">
        <v>77</v>
      </c>
      <c r="AA173" t="s">
        <v>160</v>
      </c>
      <c r="AB173" t="s">
        <v>79</v>
      </c>
      <c r="AC173">
        <v>2.4981084129611981E-2</v>
      </c>
      <c r="AD173" t="s">
        <v>77</v>
      </c>
    </row>
    <row r="174" spans="17:30" x14ac:dyDescent="0.25">
      <c r="Q174" t="s">
        <v>120</v>
      </c>
      <c r="R174" t="s">
        <v>80</v>
      </c>
      <c r="S174">
        <v>1.2666416112097225E-2</v>
      </c>
      <c r="T174" t="s">
        <v>77</v>
      </c>
      <c r="V174" t="s">
        <v>140</v>
      </c>
      <c r="W174" t="s">
        <v>80</v>
      </c>
      <c r="X174">
        <v>2.8177589655015687E-2</v>
      </c>
      <c r="Y174" t="s">
        <v>77</v>
      </c>
      <c r="AA174" t="s">
        <v>160</v>
      </c>
      <c r="AB174" t="s">
        <v>80</v>
      </c>
      <c r="AC174">
        <v>2.5338645681969706E-2</v>
      </c>
      <c r="AD174" t="s">
        <v>77</v>
      </c>
    </row>
    <row r="175" spans="17:30" x14ac:dyDescent="0.25">
      <c r="Q175" t="s">
        <v>120</v>
      </c>
      <c r="R175" t="s">
        <v>81</v>
      </c>
      <c r="S175">
        <v>2.1874642505192783E-2</v>
      </c>
      <c r="T175" t="s">
        <v>77</v>
      </c>
      <c r="V175" t="s">
        <v>140</v>
      </c>
      <c r="W175" t="s">
        <v>81</v>
      </c>
      <c r="X175">
        <v>2.574415524186691E-2</v>
      </c>
      <c r="Y175" t="s">
        <v>77</v>
      </c>
      <c r="AA175" t="s">
        <v>160</v>
      </c>
      <c r="AB175" t="s">
        <v>81</v>
      </c>
      <c r="AC175">
        <v>2.5083528756614456E-2</v>
      </c>
      <c r="AD175" t="s">
        <v>77</v>
      </c>
    </row>
    <row r="176" spans="17:30" x14ac:dyDescent="0.25">
      <c r="Q176" t="s">
        <v>120</v>
      </c>
      <c r="R176" t="s">
        <v>82</v>
      </c>
      <c r="S176">
        <v>2.1240913921345497E-2</v>
      </c>
      <c r="T176" t="s">
        <v>77</v>
      </c>
      <c r="V176" t="s">
        <v>140</v>
      </c>
      <c r="W176" t="s">
        <v>82</v>
      </c>
      <c r="X176">
        <v>2.5249374611608647E-2</v>
      </c>
      <c r="Y176" t="s">
        <v>77</v>
      </c>
      <c r="AA176" t="s">
        <v>160</v>
      </c>
      <c r="AB176" t="s">
        <v>82</v>
      </c>
      <c r="AC176">
        <v>2.4399120858113528E-2</v>
      </c>
      <c r="AD176" t="s">
        <v>77</v>
      </c>
    </row>
    <row r="177" spans="17:30" x14ac:dyDescent="0.25">
      <c r="Q177" t="s">
        <v>120</v>
      </c>
      <c r="R177" t="s">
        <v>83</v>
      </c>
      <c r="S177">
        <v>1.0443816141109431E-2</v>
      </c>
      <c r="T177" t="s">
        <v>77</v>
      </c>
      <c r="V177" t="s">
        <v>140</v>
      </c>
      <c r="W177" t="s">
        <v>83</v>
      </c>
      <c r="X177">
        <v>2.6784798107519759E-2</v>
      </c>
      <c r="Y177" t="s">
        <v>77</v>
      </c>
      <c r="AA177" t="s">
        <v>160</v>
      </c>
      <c r="AB177" t="s">
        <v>83</v>
      </c>
      <c r="AC177">
        <v>2.4752356854385968E-2</v>
      </c>
      <c r="AD177" t="s">
        <v>77</v>
      </c>
    </row>
    <row r="178" spans="17:30" x14ac:dyDescent="0.25">
      <c r="Q178" t="s">
        <v>120</v>
      </c>
      <c r="R178" t="s">
        <v>84</v>
      </c>
      <c r="S178">
        <v>9.3896643611606769E-4</v>
      </c>
      <c r="T178" t="s">
        <v>77</v>
      </c>
      <c r="V178" t="s">
        <v>140</v>
      </c>
      <c r="W178" t="s">
        <v>84</v>
      </c>
      <c r="X178">
        <v>2.8982594955870092E-2</v>
      </c>
      <c r="Y178" t="s">
        <v>77</v>
      </c>
      <c r="AA178" t="s">
        <v>160</v>
      </c>
      <c r="AB178" t="s">
        <v>84</v>
      </c>
      <c r="AC178">
        <v>2.5322357596411223E-2</v>
      </c>
      <c r="AD178" t="s">
        <v>77</v>
      </c>
    </row>
    <row r="179" spans="17:30" x14ac:dyDescent="0.25">
      <c r="Q179" t="s">
        <v>120</v>
      </c>
      <c r="R179" t="s">
        <v>85</v>
      </c>
      <c r="S179">
        <v>0</v>
      </c>
      <c r="T179" t="s">
        <v>77</v>
      </c>
      <c r="V179" t="s">
        <v>140</v>
      </c>
      <c r="W179" t="s">
        <v>85</v>
      </c>
      <c r="X179">
        <v>2.984337730061036E-2</v>
      </c>
      <c r="Y179" t="s">
        <v>77</v>
      </c>
      <c r="AA179" t="s">
        <v>160</v>
      </c>
      <c r="AB179" t="s">
        <v>85</v>
      </c>
      <c r="AC179">
        <v>2.5397812796339601E-2</v>
      </c>
      <c r="AD179" t="s">
        <v>77</v>
      </c>
    </row>
    <row r="180" spans="17:30" x14ac:dyDescent="0.25">
      <c r="Q180" t="s">
        <v>120</v>
      </c>
      <c r="R180" t="s">
        <v>86</v>
      </c>
      <c r="S180">
        <v>0</v>
      </c>
      <c r="T180" t="s">
        <v>77</v>
      </c>
      <c r="V180" t="s">
        <v>140</v>
      </c>
      <c r="W180" t="s">
        <v>86</v>
      </c>
      <c r="X180">
        <v>4.3961580945691019E-2</v>
      </c>
      <c r="Y180" t="s">
        <v>77</v>
      </c>
      <c r="AA180" t="s">
        <v>160</v>
      </c>
      <c r="AB180" t="s">
        <v>86</v>
      </c>
      <c r="AC180">
        <v>3.748151841157199E-2</v>
      </c>
      <c r="AD180" t="s">
        <v>77</v>
      </c>
    </row>
    <row r="181" spans="17:30" x14ac:dyDescent="0.25">
      <c r="Q181" t="s">
        <v>120</v>
      </c>
      <c r="R181" t="s">
        <v>87</v>
      </c>
      <c r="S181">
        <v>0</v>
      </c>
      <c r="T181" t="s">
        <v>77</v>
      </c>
      <c r="V181" t="s">
        <v>140</v>
      </c>
      <c r="W181" t="s">
        <v>87</v>
      </c>
      <c r="X181">
        <v>5.8019371997229625E-2</v>
      </c>
      <c r="Y181" t="s">
        <v>77</v>
      </c>
      <c r="AA181" t="s">
        <v>160</v>
      </c>
      <c r="AB181" t="s">
        <v>87</v>
      </c>
      <c r="AC181">
        <v>5.7772254182398702E-2</v>
      </c>
      <c r="AD181" t="s">
        <v>77</v>
      </c>
    </row>
    <row r="182" spans="17:30" x14ac:dyDescent="0.25">
      <c r="Q182" t="s">
        <v>120</v>
      </c>
      <c r="R182" t="s">
        <v>88</v>
      </c>
      <c r="S182">
        <v>9.1033717872062974E-3</v>
      </c>
      <c r="T182" t="s">
        <v>77</v>
      </c>
      <c r="V182" t="s">
        <v>140</v>
      </c>
      <c r="W182" t="s">
        <v>88</v>
      </c>
      <c r="X182">
        <v>2.2175982693137763E-2</v>
      </c>
      <c r="Y182" t="s">
        <v>77</v>
      </c>
      <c r="AA182" t="s">
        <v>160</v>
      </c>
      <c r="AB182" t="s">
        <v>88</v>
      </c>
      <c r="AC182">
        <v>2.1822122483136946E-2</v>
      </c>
      <c r="AD182" t="s">
        <v>77</v>
      </c>
    </row>
    <row r="183" spans="17:30" x14ac:dyDescent="0.25">
      <c r="Q183" t="s">
        <v>120</v>
      </c>
      <c r="R183" t="s">
        <v>89</v>
      </c>
      <c r="S183">
        <v>3.9755809038504501E-2</v>
      </c>
      <c r="T183" t="s">
        <v>77</v>
      </c>
      <c r="V183" t="s">
        <v>140</v>
      </c>
      <c r="W183" t="s">
        <v>89</v>
      </c>
      <c r="X183">
        <v>1.9175539901167396E-2</v>
      </c>
      <c r="Y183" t="s">
        <v>77</v>
      </c>
      <c r="AA183" t="s">
        <v>160</v>
      </c>
      <c r="AB183" t="s">
        <v>89</v>
      </c>
      <c r="AC183">
        <v>2.1745356477322137E-2</v>
      </c>
      <c r="AD183" t="s">
        <v>77</v>
      </c>
    </row>
    <row r="184" spans="17:30" x14ac:dyDescent="0.25">
      <c r="Q184" t="s">
        <v>120</v>
      </c>
      <c r="R184" t="s">
        <v>90</v>
      </c>
      <c r="S184">
        <v>6.8048136698232634E-2</v>
      </c>
      <c r="T184" t="s">
        <v>77</v>
      </c>
      <c r="V184" t="s">
        <v>140</v>
      </c>
      <c r="W184" t="s">
        <v>90</v>
      </c>
      <c r="X184">
        <v>1.8781852144665028E-2</v>
      </c>
      <c r="Y184" t="s">
        <v>77</v>
      </c>
      <c r="AA184" t="s">
        <v>160</v>
      </c>
      <c r="AB184" t="s">
        <v>90</v>
      </c>
      <c r="AC184">
        <v>2.1573299805539604E-2</v>
      </c>
      <c r="AD184" t="s">
        <v>77</v>
      </c>
    </row>
    <row r="185" spans="17:30" x14ac:dyDescent="0.25">
      <c r="Q185" t="s">
        <v>120</v>
      </c>
      <c r="R185" t="s">
        <v>91</v>
      </c>
      <c r="S185">
        <v>7.2447015088601491E-2</v>
      </c>
      <c r="T185" t="s">
        <v>77</v>
      </c>
      <c r="V185" t="s">
        <v>140</v>
      </c>
      <c r="W185" t="s">
        <v>91</v>
      </c>
      <c r="X185">
        <v>1.7549531706600553E-2</v>
      </c>
      <c r="Y185" t="s">
        <v>77</v>
      </c>
      <c r="AA185" t="s">
        <v>160</v>
      </c>
      <c r="AB185" t="s">
        <v>91</v>
      </c>
      <c r="AC185">
        <v>1.9784231182630216E-2</v>
      </c>
      <c r="AD185" t="s">
        <v>77</v>
      </c>
    </row>
    <row r="186" spans="17:30" x14ac:dyDescent="0.25">
      <c r="Q186" t="s">
        <v>120</v>
      </c>
      <c r="R186" t="s">
        <v>92</v>
      </c>
      <c r="S186">
        <v>6.7754073616397334E-2</v>
      </c>
      <c r="T186" t="s">
        <v>77</v>
      </c>
      <c r="V186" t="s">
        <v>140</v>
      </c>
      <c r="W186" t="s">
        <v>92</v>
      </c>
      <c r="X186">
        <v>2.0112559667826286E-2</v>
      </c>
      <c r="Y186" t="s">
        <v>77</v>
      </c>
      <c r="AA186" t="s">
        <v>160</v>
      </c>
      <c r="AB186" t="s">
        <v>92</v>
      </c>
      <c r="AC186">
        <v>2.0408647696998187E-2</v>
      </c>
      <c r="AD186" t="s">
        <v>77</v>
      </c>
    </row>
    <row r="187" spans="17:30" x14ac:dyDescent="0.25">
      <c r="Q187" t="s">
        <v>120</v>
      </c>
      <c r="R187" t="s">
        <v>93</v>
      </c>
      <c r="S187">
        <v>5.5564852998843971E-2</v>
      </c>
      <c r="T187" t="s">
        <v>77</v>
      </c>
      <c r="V187" t="s">
        <v>140</v>
      </c>
      <c r="W187" t="s">
        <v>93</v>
      </c>
      <c r="X187">
        <v>2.0649091291535811E-2</v>
      </c>
      <c r="Y187" t="s">
        <v>77</v>
      </c>
      <c r="AA187" t="s">
        <v>160</v>
      </c>
      <c r="AB187" t="s">
        <v>93</v>
      </c>
      <c r="AC187">
        <v>2.1721883351673792E-2</v>
      </c>
      <c r="AD187" t="s">
        <v>77</v>
      </c>
    </row>
    <row r="188" spans="17:30" x14ac:dyDescent="0.25">
      <c r="Q188" t="s">
        <v>120</v>
      </c>
      <c r="R188" t="s">
        <v>94</v>
      </c>
      <c r="S188">
        <v>3.1141498251261078E-2</v>
      </c>
      <c r="T188" t="s">
        <v>77</v>
      </c>
      <c r="V188" t="s">
        <v>140</v>
      </c>
      <c r="W188" t="s">
        <v>94</v>
      </c>
      <c r="X188">
        <v>2.1006599125174476E-2</v>
      </c>
      <c r="Y188" t="s">
        <v>77</v>
      </c>
      <c r="AA188" t="s">
        <v>160</v>
      </c>
      <c r="AB188" t="s">
        <v>94</v>
      </c>
      <c r="AC188">
        <v>2.2729107524652892E-2</v>
      </c>
      <c r="AD188" t="s">
        <v>77</v>
      </c>
    </row>
    <row r="189" spans="17:30" x14ac:dyDescent="0.25">
      <c r="Q189" t="s">
        <v>120</v>
      </c>
      <c r="R189" t="s">
        <v>95</v>
      </c>
      <c r="S189">
        <v>5.0994993394916201E-3</v>
      </c>
      <c r="T189" t="s">
        <v>77</v>
      </c>
      <c r="V189" t="s">
        <v>140</v>
      </c>
      <c r="W189" t="s">
        <v>95</v>
      </c>
      <c r="X189">
        <v>2.4263887711177039E-2</v>
      </c>
      <c r="Y189" t="s">
        <v>77</v>
      </c>
      <c r="AA189" t="s">
        <v>160</v>
      </c>
      <c r="AB189" t="s">
        <v>95</v>
      </c>
      <c r="AC189">
        <v>2.4037679531196347E-2</v>
      </c>
      <c r="AD189" t="s">
        <v>77</v>
      </c>
    </row>
    <row r="190" spans="17:30" x14ac:dyDescent="0.25">
      <c r="Q190" t="s">
        <v>120</v>
      </c>
      <c r="R190" t="s">
        <v>96</v>
      </c>
      <c r="S190">
        <v>0</v>
      </c>
      <c r="T190" t="s">
        <v>77</v>
      </c>
      <c r="V190" t="s">
        <v>140</v>
      </c>
      <c r="W190" t="s">
        <v>96</v>
      </c>
      <c r="X190">
        <v>3.6894416565290737E-2</v>
      </c>
      <c r="Y190" t="s">
        <v>77</v>
      </c>
      <c r="AA190" t="s">
        <v>160</v>
      </c>
      <c r="AB190" t="s">
        <v>96</v>
      </c>
      <c r="AC190">
        <v>3.6554842696623541E-2</v>
      </c>
      <c r="AD190" t="s">
        <v>77</v>
      </c>
    </row>
    <row r="191" spans="17:30" x14ac:dyDescent="0.25">
      <c r="Q191" t="s">
        <v>120</v>
      </c>
      <c r="R191" t="s">
        <v>97</v>
      </c>
      <c r="S191">
        <v>0</v>
      </c>
      <c r="T191" t="s">
        <v>77</v>
      </c>
      <c r="V191" t="s">
        <v>140</v>
      </c>
      <c r="W191" t="s">
        <v>97</v>
      </c>
      <c r="X191">
        <v>3.1572078813101055E-2</v>
      </c>
      <c r="Y191" t="s">
        <v>77</v>
      </c>
      <c r="AA191" t="s">
        <v>160</v>
      </c>
      <c r="AB191" t="s">
        <v>97</v>
      </c>
      <c r="AC191">
        <v>3.7105648422178387E-2</v>
      </c>
      <c r="AD191" t="s">
        <v>77</v>
      </c>
    </row>
    <row r="192" spans="17:30" x14ac:dyDescent="0.25">
      <c r="Q192" t="s">
        <v>120</v>
      </c>
      <c r="R192" t="s">
        <v>98</v>
      </c>
      <c r="S192">
        <v>2.0089034881557201E-2</v>
      </c>
      <c r="T192" t="s">
        <v>77</v>
      </c>
      <c r="V192" t="s">
        <v>140</v>
      </c>
      <c r="W192" t="s">
        <v>98</v>
      </c>
      <c r="X192">
        <v>1.075577022368324E-2</v>
      </c>
      <c r="Y192" t="s">
        <v>77</v>
      </c>
      <c r="AA192" t="s">
        <v>160</v>
      </c>
      <c r="AB192" t="s">
        <v>98</v>
      </c>
      <c r="AC192">
        <v>1.4183756421362177E-2</v>
      </c>
      <c r="AD192" t="s">
        <v>77</v>
      </c>
    </row>
    <row r="193" spans="17:30" x14ac:dyDescent="0.25">
      <c r="Q193" t="s">
        <v>120</v>
      </c>
      <c r="R193" t="s">
        <v>99</v>
      </c>
      <c r="S193">
        <v>5.4032542640455046E-2</v>
      </c>
      <c r="T193" t="s">
        <v>77</v>
      </c>
      <c r="V193" t="s">
        <v>140</v>
      </c>
      <c r="W193" t="s">
        <v>99</v>
      </c>
      <c r="X193">
        <v>9.3044406046942744E-3</v>
      </c>
      <c r="Y193" t="s">
        <v>77</v>
      </c>
      <c r="AA193" t="s">
        <v>160</v>
      </c>
      <c r="AB193" t="s">
        <v>99</v>
      </c>
      <c r="AC193">
        <v>1.3889518155841529E-2</v>
      </c>
      <c r="AD193" t="s">
        <v>77</v>
      </c>
    </row>
    <row r="194" spans="17:30" x14ac:dyDescent="0.25">
      <c r="Q194" t="s">
        <v>120</v>
      </c>
      <c r="R194" t="s">
        <v>100</v>
      </c>
      <c r="S194">
        <v>7.3326610596188044E-2</v>
      </c>
      <c r="T194" t="s">
        <v>77</v>
      </c>
      <c r="V194" t="s">
        <v>140</v>
      </c>
      <c r="W194" t="s">
        <v>100</v>
      </c>
      <c r="X194">
        <v>1.0241462833458602E-2</v>
      </c>
      <c r="Y194" t="s">
        <v>77</v>
      </c>
      <c r="AA194" t="s">
        <v>160</v>
      </c>
      <c r="AB194" t="s">
        <v>100</v>
      </c>
      <c r="AC194">
        <v>1.3749291269948399E-2</v>
      </c>
      <c r="AD194" t="s">
        <v>77</v>
      </c>
    </row>
    <row r="195" spans="17:30" x14ac:dyDescent="0.25">
      <c r="Q195" t="s">
        <v>120</v>
      </c>
      <c r="R195" t="s">
        <v>101</v>
      </c>
      <c r="S195">
        <v>7.6106519758512334E-2</v>
      </c>
      <c r="T195" t="s">
        <v>77</v>
      </c>
      <c r="V195" t="s">
        <v>140</v>
      </c>
      <c r="W195" t="s">
        <v>101</v>
      </c>
      <c r="X195">
        <v>9.6182095399313505E-3</v>
      </c>
      <c r="Y195" t="s">
        <v>77</v>
      </c>
      <c r="AA195" t="s">
        <v>160</v>
      </c>
      <c r="AB195" t="s">
        <v>101</v>
      </c>
      <c r="AC195">
        <v>1.3028537977322471E-2</v>
      </c>
      <c r="AD195" t="s">
        <v>77</v>
      </c>
    </row>
    <row r="196" spans="17:30" x14ac:dyDescent="0.25">
      <c r="Q196" t="s">
        <v>120</v>
      </c>
      <c r="R196" t="s">
        <v>102</v>
      </c>
      <c r="S196">
        <v>7.2749042519515486E-2</v>
      </c>
      <c r="T196" t="s">
        <v>77</v>
      </c>
      <c r="V196" t="s">
        <v>140</v>
      </c>
      <c r="W196" t="s">
        <v>102</v>
      </c>
      <c r="X196">
        <v>1.1985838896592712E-2</v>
      </c>
      <c r="Y196" t="s">
        <v>77</v>
      </c>
      <c r="AA196" t="s">
        <v>160</v>
      </c>
      <c r="AB196" t="s">
        <v>102</v>
      </c>
      <c r="AC196">
        <v>1.4421013880895039E-2</v>
      </c>
      <c r="AD196" t="s">
        <v>77</v>
      </c>
    </row>
    <row r="197" spans="17:30" x14ac:dyDescent="0.25">
      <c r="Q197" t="s">
        <v>120</v>
      </c>
      <c r="R197" t="s">
        <v>103</v>
      </c>
      <c r="S197">
        <v>6.5256095923812582E-2</v>
      </c>
      <c r="T197" t="s">
        <v>77</v>
      </c>
      <c r="V197" t="s">
        <v>140</v>
      </c>
      <c r="W197" t="s">
        <v>103</v>
      </c>
      <c r="X197">
        <v>1.3189976262443236E-2</v>
      </c>
      <c r="Y197" t="s">
        <v>77</v>
      </c>
      <c r="AA197" t="s">
        <v>160</v>
      </c>
      <c r="AB197" t="s">
        <v>103</v>
      </c>
      <c r="AC197">
        <v>1.5417006705194336E-2</v>
      </c>
      <c r="AD197" t="s">
        <v>77</v>
      </c>
    </row>
    <row r="198" spans="17:30" x14ac:dyDescent="0.25">
      <c r="Q198" t="s">
        <v>120</v>
      </c>
      <c r="R198" t="s">
        <v>104</v>
      </c>
      <c r="S198">
        <v>4.4659405898124838E-2</v>
      </c>
      <c r="T198" t="s">
        <v>77</v>
      </c>
      <c r="V198" t="s">
        <v>140</v>
      </c>
      <c r="W198" t="s">
        <v>104</v>
      </c>
      <c r="X198">
        <v>1.2301903120394893E-2</v>
      </c>
      <c r="Y198" t="s">
        <v>77</v>
      </c>
      <c r="AA198" t="s">
        <v>160</v>
      </c>
      <c r="AB198" t="s">
        <v>104</v>
      </c>
      <c r="AC198">
        <v>1.4868093237390379E-2</v>
      </c>
      <c r="AD198" t="s">
        <v>77</v>
      </c>
    </row>
    <row r="199" spans="17:30" x14ac:dyDescent="0.25">
      <c r="Q199" t="s">
        <v>120</v>
      </c>
      <c r="R199" t="s">
        <v>105</v>
      </c>
      <c r="S199">
        <v>1.6915381204901499E-2</v>
      </c>
      <c r="T199" t="s">
        <v>77</v>
      </c>
      <c r="V199" t="s">
        <v>140</v>
      </c>
      <c r="W199" t="s">
        <v>105</v>
      </c>
      <c r="X199">
        <v>1.2698932962746698E-2</v>
      </c>
      <c r="Y199" t="s">
        <v>77</v>
      </c>
      <c r="AA199" t="s">
        <v>160</v>
      </c>
      <c r="AB199" t="s">
        <v>105</v>
      </c>
      <c r="AC199">
        <v>1.4560075191187481E-2</v>
      </c>
      <c r="AD199" t="s">
        <v>77</v>
      </c>
    </row>
    <row r="200" spans="17:30" x14ac:dyDescent="0.25">
      <c r="Q200" t="s">
        <v>120</v>
      </c>
      <c r="R200" t="s">
        <v>106</v>
      </c>
      <c r="S200">
        <v>0</v>
      </c>
      <c r="T200" t="s">
        <v>77</v>
      </c>
      <c r="V200" t="s">
        <v>140</v>
      </c>
      <c r="W200" t="s">
        <v>106</v>
      </c>
      <c r="X200">
        <v>2.1009684321369609E-2</v>
      </c>
      <c r="Y200" t="s">
        <v>77</v>
      </c>
      <c r="AA200" t="s">
        <v>160</v>
      </c>
      <c r="AB200" t="s">
        <v>106</v>
      </c>
      <c r="AC200">
        <v>2.2205286639290254E-2</v>
      </c>
      <c r="AD200" t="s">
        <v>77</v>
      </c>
    </row>
    <row r="201" spans="17:30" x14ac:dyDescent="0.25">
      <c r="Q201" t="s">
        <v>120</v>
      </c>
      <c r="R201" t="s">
        <v>107</v>
      </c>
      <c r="S201">
        <v>0</v>
      </c>
      <c r="T201" t="s">
        <v>77</v>
      </c>
      <c r="V201" t="s">
        <v>140</v>
      </c>
      <c r="W201" t="s">
        <v>107</v>
      </c>
      <c r="X201">
        <v>5.6030255176752232E-2</v>
      </c>
      <c r="Y201" t="s">
        <v>77</v>
      </c>
      <c r="AA201" t="s">
        <v>160</v>
      </c>
      <c r="AB201" t="s">
        <v>107</v>
      </c>
      <c r="AC201">
        <v>5.2604303814130851E-2</v>
      </c>
      <c r="AD201" t="s">
        <v>77</v>
      </c>
    </row>
    <row r="202" spans="17:30" x14ac:dyDescent="0.25">
      <c r="Q202" t="s">
        <v>120</v>
      </c>
      <c r="R202" t="s">
        <v>108</v>
      </c>
      <c r="S202">
        <v>9.2931648183283645E-4</v>
      </c>
      <c r="T202" t="s">
        <v>77</v>
      </c>
      <c r="V202" t="s">
        <v>140</v>
      </c>
      <c r="W202" t="s">
        <v>108</v>
      </c>
      <c r="X202">
        <v>2.1780515097452338E-2</v>
      </c>
      <c r="Y202" t="s">
        <v>77</v>
      </c>
      <c r="AA202" t="s">
        <v>160</v>
      </c>
      <c r="AB202" t="s">
        <v>108</v>
      </c>
      <c r="AC202">
        <v>2.1347320750809855E-2</v>
      </c>
      <c r="AD202" t="s">
        <v>77</v>
      </c>
    </row>
    <row r="203" spans="17:30" x14ac:dyDescent="0.25">
      <c r="Q203" t="s">
        <v>120</v>
      </c>
      <c r="R203" t="s">
        <v>109</v>
      </c>
      <c r="S203">
        <v>1.5562890610039912E-2</v>
      </c>
      <c r="T203" t="s">
        <v>77</v>
      </c>
      <c r="V203" t="s">
        <v>140</v>
      </c>
      <c r="W203" t="s">
        <v>109</v>
      </c>
      <c r="X203">
        <v>2.1023328090096292E-2</v>
      </c>
      <c r="Y203" t="s">
        <v>77</v>
      </c>
      <c r="AA203" t="s">
        <v>160</v>
      </c>
      <c r="AB203" t="s">
        <v>109</v>
      </c>
      <c r="AC203">
        <v>2.2015424725351337E-2</v>
      </c>
      <c r="AD203" t="s">
        <v>77</v>
      </c>
    </row>
    <row r="204" spans="17:30" x14ac:dyDescent="0.25">
      <c r="Q204" t="s">
        <v>120</v>
      </c>
      <c r="R204" t="s">
        <v>110</v>
      </c>
      <c r="S204">
        <v>3.4460530791102791E-2</v>
      </c>
      <c r="T204" t="s">
        <v>77</v>
      </c>
      <c r="V204" t="s">
        <v>140</v>
      </c>
      <c r="W204" t="s">
        <v>110</v>
      </c>
      <c r="X204">
        <v>2.0365299267663371E-2</v>
      </c>
      <c r="Y204" t="s">
        <v>77</v>
      </c>
      <c r="AA204" t="s">
        <v>160</v>
      </c>
      <c r="AB204" t="s">
        <v>110</v>
      </c>
      <c r="AC204">
        <v>2.2435585957987426E-2</v>
      </c>
      <c r="AD204" t="s">
        <v>77</v>
      </c>
    </row>
    <row r="205" spans="17:30" x14ac:dyDescent="0.25">
      <c r="Q205" t="s">
        <v>120</v>
      </c>
      <c r="R205" t="s">
        <v>111</v>
      </c>
      <c r="S205">
        <v>3.8151456019450469E-2</v>
      </c>
      <c r="T205" t="s">
        <v>77</v>
      </c>
      <c r="V205" t="s">
        <v>140</v>
      </c>
      <c r="W205" t="s">
        <v>111</v>
      </c>
      <c r="X205">
        <v>1.8892891718012603E-2</v>
      </c>
      <c r="Y205" t="s">
        <v>77</v>
      </c>
      <c r="AA205" t="s">
        <v>160</v>
      </c>
      <c r="AB205" t="s">
        <v>111</v>
      </c>
      <c r="AC205">
        <v>2.2082351337445166E-2</v>
      </c>
      <c r="AD205" t="s">
        <v>77</v>
      </c>
    </row>
    <row r="206" spans="17:30" x14ac:dyDescent="0.25">
      <c r="Q206" t="s">
        <v>120</v>
      </c>
      <c r="R206" t="s">
        <v>112</v>
      </c>
      <c r="S206">
        <v>3.7488425704085136E-2</v>
      </c>
      <c r="T206" t="s">
        <v>77</v>
      </c>
      <c r="V206" t="s">
        <v>140</v>
      </c>
      <c r="W206" t="s">
        <v>112</v>
      </c>
      <c r="X206">
        <v>1.9740951077073441E-2</v>
      </c>
      <c r="Y206" t="s">
        <v>77</v>
      </c>
      <c r="AA206" t="s">
        <v>160</v>
      </c>
      <c r="AB206" t="s">
        <v>112</v>
      </c>
      <c r="AC206">
        <v>2.1799386289450429E-2</v>
      </c>
      <c r="AD206" t="s">
        <v>77</v>
      </c>
    </row>
    <row r="207" spans="17:30" x14ac:dyDescent="0.25">
      <c r="Q207" t="s">
        <v>120</v>
      </c>
      <c r="R207" t="s">
        <v>113</v>
      </c>
      <c r="S207">
        <v>2.6139201736941588E-2</v>
      </c>
      <c r="T207" t="s">
        <v>77</v>
      </c>
      <c r="V207" t="s">
        <v>140</v>
      </c>
      <c r="W207" t="s">
        <v>113</v>
      </c>
      <c r="X207">
        <v>2.0992650805779167E-2</v>
      </c>
      <c r="Y207" t="s">
        <v>77</v>
      </c>
      <c r="AA207" t="s">
        <v>160</v>
      </c>
      <c r="AB207" t="s">
        <v>113</v>
      </c>
      <c r="AC207">
        <v>2.1578226739981221E-2</v>
      </c>
      <c r="AD207" t="s">
        <v>77</v>
      </c>
    </row>
    <row r="208" spans="17:30" x14ac:dyDescent="0.25">
      <c r="Q208" t="s">
        <v>120</v>
      </c>
      <c r="R208" t="s">
        <v>114</v>
      </c>
      <c r="S208">
        <v>7.5685182325715009E-3</v>
      </c>
      <c r="T208" t="s">
        <v>77</v>
      </c>
      <c r="V208" t="s">
        <v>140</v>
      </c>
      <c r="W208" t="s">
        <v>114</v>
      </c>
      <c r="X208">
        <v>2.2695933987768944E-2</v>
      </c>
      <c r="Y208" t="s">
        <v>77</v>
      </c>
      <c r="AA208" t="s">
        <v>160</v>
      </c>
      <c r="AB208" t="s">
        <v>114</v>
      </c>
      <c r="AC208">
        <v>2.1978416026379309E-2</v>
      </c>
      <c r="AD208" t="s">
        <v>77</v>
      </c>
    </row>
    <row r="209" spans="17:30" x14ac:dyDescent="0.25">
      <c r="Q209" t="s">
        <v>120</v>
      </c>
      <c r="R209" t="s">
        <v>115</v>
      </c>
      <c r="S209">
        <v>5.5125578995303035E-5</v>
      </c>
      <c r="T209" t="s">
        <v>77</v>
      </c>
      <c r="V209" t="s">
        <v>140</v>
      </c>
      <c r="W209" t="s">
        <v>115</v>
      </c>
      <c r="X209">
        <v>2.3500753936819781E-2</v>
      </c>
      <c r="Y209" t="s">
        <v>77</v>
      </c>
      <c r="AA209" t="s">
        <v>160</v>
      </c>
      <c r="AB209" t="s">
        <v>115</v>
      </c>
      <c r="AC209">
        <v>2.2002094914219127E-2</v>
      </c>
      <c r="AD209" t="s">
        <v>77</v>
      </c>
    </row>
    <row r="210" spans="17:30" x14ac:dyDescent="0.25">
      <c r="Q210" t="s">
        <v>120</v>
      </c>
      <c r="R210" t="s">
        <v>116</v>
      </c>
      <c r="S210">
        <v>0</v>
      </c>
      <c r="T210" t="s">
        <v>77</v>
      </c>
      <c r="V210" t="s">
        <v>140</v>
      </c>
      <c r="W210" t="s">
        <v>116</v>
      </c>
      <c r="X210">
        <v>3.5209096770550133E-2</v>
      </c>
      <c r="Y210" t="s">
        <v>77</v>
      </c>
      <c r="AA210" t="s">
        <v>160</v>
      </c>
      <c r="AB210" t="s">
        <v>116</v>
      </c>
      <c r="AC210">
        <v>3.2703647870783566E-2</v>
      </c>
      <c r="AD210" t="s">
        <v>77</v>
      </c>
    </row>
    <row r="211" spans="17:30" x14ac:dyDescent="0.25">
      <c r="Q211" t="s">
        <v>121</v>
      </c>
      <c r="R211" t="s">
        <v>76</v>
      </c>
      <c r="S211">
        <v>0</v>
      </c>
      <c r="T211" t="s">
        <v>77</v>
      </c>
      <c r="V211" t="s">
        <v>141</v>
      </c>
      <c r="W211" t="s">
        <v>76</v>
      </c>
      <c r="X211">
        <v>6.9820411429869847E-2</v>
      </c>
      <c r="Y211" t="s">
        <v>77</v>
      </c>
      <c r="AA211" t="s">
        <v>161</v>
      </c>
      <c r="AB211" t="s">
        <v>76</v>
      </c>
      <c r="AC211">
        <v>6.1100453824425367E-2</v>
      </c>
      <c r="AD211" t="s">
        <v>77</v>
      </c>
    </row>
    <row r="212" spans="17:30" x14ac:dyDescent="0.25">
      <c r="Q212" t="s">
        <v>121</v>
      </c>
      <c r="R212" t="s">
        <v>78</v>
      </c>
      <c r="S212">
        <v>0</v>
      </c>
      <c r="T212" t="s">
        <v>77</v>
      </c>
      <c r="V212" t="s">
        <v>141</v>
      </c>
      <c r="W212" t="s">
        <v>78</v>
      </c>
      <c r="X212">
        <v>2.788484599125025E-2</v>
      </c>
      <c r="Y212" t="s">
        <v>77</v>
      </c>
      <c r="AA212" t="s">
        <v>161</v>
      </c>
      <c r="AB212" t="s">
        <v>78</v>
      </c>
      <c r="AC212">
        <v>2.4877738992152856E-2</v>
      </c>
      <c r="AD212" t="s">
        <v>77</v>
      </c>
    </row>
    <row r="213" spans="17:30" x14ac:dyDescent="0.25">
      <c r="Q213" t="s">
        <v>121</v>
      </c>
      <c r="R213" t="s">
        <v>79</v>
      </c>
      <c r="S213">
        <v>1.056632404288862E-3</v>
      </c>
      <c r="T213" t="s">
        <v>77</v>
      </c>
      <c r="V213" t="s">
        <v>141</v>
      </c>
      <c r="W213" t="s">
        <v>79</v>
      </c>
      <c r="X213">
        <v>2.8288335445098824E-2</v>
      </c>
      <c r="Y213" t="s">
        <v>77</v>
      </c>
      <c r="AA213" t="s">
        <v>161</v>
      </c>
      <c r="AB213" t="s">
        <v>79</v>
      </c>
      <c r="AC213">
        <v>2.5515693324284397E-2</v>
      </c>
      <c r="AD213" t="s">
        <v>77</v>
      </c>
    </row>
    <row r="214" spans="17:30" x14ac:dyDescent="0.25">
      <c r="Q214" t="s">
        <v>121</v>
      </c>
      <c r="R214" t="s">
        <v>80</v>
      </c>
      <c r="S214">
        <v>1.3163075068940188E-2</v>
      </c>
      <c r="T214" t="s">
        <v>77</v>
      </c>
      <c r="V214" t="s">
        <v>141</v>
      </c>
      <c r="W214" t="s">
        <v>80</v>
      </c>
      <c r="X214">
        <v>2.7755200461865262E-2</v>
      </c>
      <c r="Y214" t="s">
        <v>77</v>
      </c>
      <c r="AA214" t="s">
        <v>161</v>
      </c>
      <c r="AB214" t="s">
        <v>80</v>
      </c>
      <c r="AC214">
        <v>2.5448223699752491E-2</v>
      </c>
      <c r="AD214" t="s">
        <v>77</v>
      </c>
    </row>
    <row r="215" spans="17:30" x14ac:dyDescent="0.25">
      <c r="Q215" t="s">
        <v>121</v>
      </c>
      <c r="R215" t="s">
        <v>81</v>
      </c>
      <c r="S215">
        <v>2.1893133893130724E-2</v>
      </c>
      <c r="T215" t="s">
        <v>77</v>
      </c>
      <c r="V215" t="s">
        <v>141</v>
      </c>
      <c r="W215" t="s">
        <v>81</v>
      </c>
      <c r="X215">
        <v>2.5272699761007295E-2</v>
      </c>
      <c r="Y215" t="s">
        <v>77</v>
      </c>
      <c r="AA215" t="s">
        <v>161</v>
      </c>
      <c r="AB215" t="s">
        <v>81</v>
      </c>
      <c r="AC215">
        <v>2.5227227936226487E-2</v>
      </c>
      <c r="AD215" t="s">
        <v>77</v>
      </c>
    </row>
    <row r="216" spans="17:30" x14ac:dyDescent="0.25">
      <c r="Q216" t="s">
        <v>121</v>
      </c>
      <c r="R216" t="s">
        <v>82</v>
      </c>
      <c r="S216">
        <v>2.0077816277110024E-2</v>
      </c>
      <c r="T216" t="s">
        <v>77</v>
      </c>
      <c r="V216" t="s">
        <v>141</v>
      </c>
      <c r="W216" t="s">
        <v>82</v>
      </c>
      <c r="X216">
        <v>2.5697807910132524E-2</v>
      </c>
      <c r="Y216" t="s">
        <v>77</v>
      </c>
      <c r="AA216" t="s">
        <v>161</v>
      </c>
      <c r="AB216" t="s">
        <v>82</v>
      </c>
      <c r="AC216">
        <v>2.4844462514503916E-2</v>
      </c>
      <c r="AD216" t="s">
        <v>77</v>
      </c>
    </row>
    <row r="217" spans="17:30" x14ac:dyDescent="0.25">
      <c r="Q217" t="s">
        <v>121</v>
      </c>
      <c r="R217" t="s">
        <v>83</v>
      </c>
      <c r="S217">
        <v>8.3894464279656474E-3</v>
      </c>
      <c r="T217" t="s">
        <v>77</v>
      </c>
      <c r="V217" t="s">
        <v>141</v>
      </c>
      <c r="W217" t="s">
        <v>83</v>
      </c>
      <c r="X217">
        <v>2.7249383659792278E-2</v>
      </c>
      <c r="Y217" t="s">
        <v>77</v>
      </c>
      <c r="AA217" t="s">
        <v>161</v>
      </c>
      <c r="AB217" t="s">
        <v>83</v>
      </c>
      <c r="AC217">
        <v>2.5545500989273967E-2</v>
      </c>
      <c r="AD217" t="s">
        <v>77</v>
      </c>
    </row>
    <row r="218" spans="17:30" x14ac:dyDescent="0.25">
      <c r="Q218" t="s">
        <v>121</v>
      </c>
      <c r="R218" t="s">
        <v>84</v>
      </c>
      <c r="S218">
        <v>6.3254467552021579E-4</v>
      </c>
      <c r="T218" t="s">
        <v>77</v>
      </c>
      <c r="V218" t="s">
        <v>141</v>
      </c>
      <c r="W218" t="s">
        <v>84</v>
      </c>
      <c r="X218">
        <v>2.905370572036637E-2</v>
      </c>
      <c r="Y218" t="s">
        <v>77</v>
      </c>
      <c r="AA218" t="s">
        <v>161</v>
      </c>
      <c r="AB218" t="s">
        <v>84</v>
      </c>
      <c r="AC218">
        <v>2.6241508329695767E-2</v>
      </c>
      <c r="AD218" t="s">
        <v>77</v>
      </c>
    </row>
    <row r="219" spans="17:30" x14ac:dyDescent="0.25">
      <c r="Q219" t="s">
        <v>121</v>
      </c>
      <c r="R219" t="s">
        <v>85</v>
      </c>
      <c r="S219">
        <v>0</v>
      </c>
      <c r="T219" t="s">
        <v>77</v>
      </c>
      <c r="V219" t="s">
        <v>141</v>
      </c>
      <c r="W219" t="s">
        <v>85</v>
      </c>
      <c r="X219">
        <v>2.9676667923344249E-2</v>
      </c>
      <c r="Y219" t="s">
        <v>77</v>
      </c>
      <c r="AA219" t="s">
        <v>161</v>
      </c>
      <c r="AB219" t="s">
        <v>85</v>
      </c>
      <c r="AC219">
        <v>2.6346853059491627E-2</v>
      </c>
      <c r="AD219" t="s">
        <v>77</v>
      </c>
    </row>
    <row r="220" spans="17:30" x14ac:dyDescent="0.25">
      <c r="Q220" t="s">
        <v>121</v>
      </c>
      <c r="R220" t="s">
        <v>86</v>
      </c>
      <c r="S220">
        <v>0</v>
      </c>
      <c r="T220" t="s">
        <v>77</v>
      </c>
      <c r="V220" t="s">
        <v>141</v>
      </c>
      <c r="W220" t="s">
        <v>86</v>
      </c>
      <c r="X220">
        <v>4.3539746241957306E-2</v>
      </c>
      <c r="Y220" t="s">
        <v>77</v>
      </c>
      <c r="AA220" t="s">
        <v>161</v>
      </c>
      <c r="AB220" t="s">
        <v>86</v>
      </c>
      <c r="AC220">
        <v>3.8370013990865849E-2</v>
      </c>
      <c r="AD220" t="s">
        <v>77</v>
      </c>
    </row>
    <row r="221" spans="17:30" x14ac:dyDescent="0.25">
      <c r="Q221" t="s">
        <v>121</v>
      </c>
      <c r="R221" t="s">
        <v>87</v>
      </c>
      <c r="S221">
        <v>9.3265561241735604E-5</v>
      </c>
      <c r="T221" t="s">
        <v>77</v>
      </c>
      <c r="V221" t="s">
        <v>141</v>
      </c>
      <c r="W221" t="s">
        <v>87</v>
      </c>
      <c r="X221">
        <v>6.1681731211296706E-2</v>
      </c>
      <c r="Y221" t="s">
        <v>77</v>
      </c>
      <c r="AA221" t="s">
        <v>161</v>
      </c>
      <c r="AB221" t="s">
        <v>87</v>
      </c>
      <c r="AC221">
        <v>5.7340932298120435E-2</v>
      </c>
      <c r="AD221" t="s">
        <v>77</v>
      </c>
    </row>
    <row r="222" spans="17:30" x14ac:dyDescent="0.25">
      <c r="Q222" t="s">
        <v>121</v>
      </c>
      <c r="R222" t="s">
        <v>88</v>
      </c>
      <c r="S222">
        <v>1.2537795250278268E-2</v>
      </c>
      <c r="T222" t="s">
        <v>77</v>
      </c>
      <c r="V222" t="s">
        <v>141</v>
      </c>
      <c r="W222" t="s">
        <v>88</v>
      </c>
      <c r="X222">
        <v>2.3928501174917991E-2</v>
      </c>
      <c r="Y222" t="s">
        <v>77</v>
      </c>
      <c r="AA222" t="s">
        <v>161</v>
      </c>
      <c r="AB222" t="s">
        <v>88</v>
      </c>
      <c r="AC222">
        <v>2.170750432790184E-2</v>
      </c>
      <c r="AD222" t="s">
        <v>77</v>
      </c>
    </row>
    <row r="223" spans="17:30" x14ac:dyDescent="0.25">
      <c r="Q223" t="s">
        <v>121</v>
      </c>
      <c r="R223" t="s">
        <v>89</v>
      </c>
      <c r="S223">
        <v>4.8705595651427999E-2</v>
      </c>
      <c r="T223" t="s">
        <v>77</v>
      </c>
      <c r="V223" t="s">
        <v>141</v>
      </c>
      <c r="W223" t="s">
        <v>89</v>
      </c>
      <c r="X223">
        <v>2.0967498680737304E-2</v>
      </c>
      <c r="Y223" t="s">
        <v>77</v>
      </c>
      <c r="AA223" t="s">
        <v>161</v>
      </c>
      <c r="AB223" t="s">
        <v>89</v>
      </c>
      <c r="AC223">
        <v>2.1574382743585363E-2</v>
      </c>
      <c r="AD223" t="s">
        <v>77</v>
      </c>
    </row>
    <row r="224" spans="17:30" x14ac:dyDescent="0.25">
      <c r="Q224" t="s">
        <v>121</v>
      </c>
      <c r="R224" t="s">
        <v>90</v>
      </c>
      <c r="S224">
        <v>7.3332776284990284E-2</v>
      </c>
      <c r="T224" t="s">
        <v>77</v>
      </c>
      <c r="V224" t="s">
        <v>141</v>
      </c>
      <c r="W224" t="s">
        <v>90</v>
      </c>
      <c r="X224">
        <v>1.8969143184926048E-2</v>
      </c>
      <c r="Y224" t="s">
        <v>77</v>
      </c>
      <c r="AA224" t="s">
        <v>161</v>
      </c>
      <c r="AB224" t="s">
        <v>90</v>
      </c>
      <c r="AC224">
        <v>2.1437825953779199E-2</v>
      </c>
      <c r="AD224" t="s">
        <v>77</v>
      </c>
    </row>
    <row r="225" spans="17:30" x14ac:dyDescent="0.25">
      <c r="Q225" t="s">
        <v>121</v>
      </c>
      <c r="R225" t="s">
        <v>91</v>
      </c>
      <c r="S225">
        <v>7.3194542264700985E-2</v>
      </c>
      <c r="T225" t="s">
        <v>77</v>
      </c>
      <c r="V225" t="s">
        <v>141</v>
      </c>
      <c r="W225" t="s">
        <v>91</v>
      </c>
      <c r="X225">
        <v>1.6203568182776514E-2</v>
      </c>
      <c r="Y225" t="s">
        <v>77</v>
      </c>
      <c r="AA225" t="s">
        <v>161</v>
      </c>
      <c r="AB225" t="s">
        <v>91</v>
      </c>
      <c r="AC225">
        <v>1.9715789711175782E-2</v>
      </c>
      <c r="AD225" t="s">
        <v>77</v>
      </c>
    </row>
    <row r="226" spans="17:30" x14ac:dyDescent="0.25">
      <c r="Q226" t="s">
        <v>121</v>
      </c>
      <c r="R226" t="s">
        <v>92</v>
      </c>
      <c r="S226">
        <v>7.0911533625982626E-2</v>
      </c>
      <c r="T226" t="s">
        <v>77</v>
      </c>
      <c r="V226" t="s">
        <v>141</v>
      </c>
      <c r="W226" t="s">
        <v>92</v>
      </c>
      <c r="X226">
        <v>1.8292414161920248E-2</v>
      </c>
      <c r="Y226" t="s">
        <v>77</v>
      </c>
      <c r="AA226" t="s">
        <v>161</v>
      </c>
      <c r="AB226" t="s">
        <v>92</v>
      </c>
      <c r="AC226">
        <v>2.0493972304389797E-2</v>
      </c>
      <c r="AD226" t="s">
        <v>77</v>
      </c>
    </row>
    <row r="227" spans="17:30" x14ac:dyDescent="0.25">
      <c r="Q227" t="s">
        <v>121</v>
      </c>
      <c r="R227" t="s">
        <v>93</v>
      </c>
      <c r="S227">
        <v>5.8422426825891896E-2</v>
      </c>
      <c r="T227" t="s">
        <v>77</v>
      </c>
      <c r="V227" t="s">
        <v>141</v>
      </c>
      <c r="W227" t="s">
        <v>93</v>
      </c>
      <c r="X227">
        <v>1.932284442461505E-2</v>
      </c>
      <c r="Y227" t="s">
        <v>77</v>
      </c>
      <c r="AA227" t="s">
        <v>161</v>
      </c>
      <c r="AB227" t="s">
        <v>93</v>
      </c>
      <c r="AC227">
        <v>2.1545550486075427E-2</v>
      </c>
      <c r="AD227" t="s">
        <v>77</v>
      </c>
    </row>
    <row r="228" spans="17:30" x14ac:dyDescent="0.25">
      <c r="Q228" t="s">
        <v>121</v>
      </c>
      <c r="R228" t="s">
        <v>94</v>
      </c>
      <c r="S228">
        <v>3.0789756209675046E-2</v>
      </c>
      <c r="T228" t="s">
        <v>77</v>
      </c>
      <c r="V228" t="s">
        <v>141</v>
      </c>
      <c r="W228" t="s">
        <v>94</v>
      </c>
      <c r="X228">
        <v>1.9434718604116125E-2</v>
      </c>
      <c r="Y228" t="s">
        <v>77</v>
      </c>
      <c r="AA228" t="s">
        <v>161</v>
      </c>
      <c r="AB228" t="s">
        <v>94</v>
      </c>
      <c r="AC228">
        <v>2.2264866508946487E-2</v>
      </c>
      <c r="AD228" t="s">
        <v>77</v>
      </c>
    </row>
    <row r="229" spans="17:30" x14ac:dyDescent="0.25">
      <c r="Q229" t="s">
        <v>121</v>
      </c>
      <c r="R229" t="s">
        <v>95</v>
      </c>
      <c r="S229">
        <v>3.9197709851024696E-3</v>
      </c>
      <c r="T229" t="s">
        <v>77</v>
      </c>
      <c r="V229" t="s">
        <v>141</v>
      </c>
      <c r="W229" t="s">
        <v>95</v>
      </c>
      <c r="X229">
        <v>2.3169080174509967E-2</v>
      </c>
      <c r="Y229" t="s">
        <v>77</v>
      </c>
      <c r="AA229" t="s">
        <v>161</v>
      </c>
      <c r="AB229" t="s">
        <v>95</v>
      </c>
      <c r="AC229">
        <v>2.3002113016760316E-2</v>
      </c>
      <c r="AD229" t="s">
        <v>77</v>
      </c>
    </row>
    <row r="230" spans="17:30" x14ac:dyDescent="0.25">
      <c r="Q230" t="s">
        <v>121</v>
      </c>
      <c r="R230" t="s">
        <v>96</v>
      </c>
      <c r="S230">
        <v>0</v>
      </c>
      <c r="T230" t="s">
        <v>77</v>
      </c>
      <c r="V230" t="s">
        <v>141</v>
      </c>
      <c r="W230" t="s">
        <v>96</v>
      </c>
      <c r="X230">
        <v>3.8062949086544222E-2</v>
      </c>
      <c r="Y230" t="s">
        <v>77</v>
      </c>
      <c r="AA230" t="s">
        <v>161</v>
      </c>
      <c r="AB230" t="s">
        <v>96</v>
      </c>
      <c r="AC230">
        <v>3.5654572022741256E-2</v>
      </c>
      <c r="AD230" t="s">
        <v>77</v>
      </c>
    </row>
    <row r="231" spans="17:30" x14ac:dyDescent="0.25">
      <c r="Q231" t="s">
        <v>121</v>
      </c>
      <c r="R231" t="s">
        <v>97</v>
      </c>
      <c r="S231">
        <v>1.1667786578062778E-3</v>
      </c>
      <c r="T231" t="s">
        <v>77</v>
      </c>
      <c r="V231" t="s">
        <v>141</v>
      </c>
      <c r="W231" t="s">
        <v>97</v>
      </c>
      <c r="X231">
        <v>3.2135503222585328E-2</v>
      </c>
      <c r="Y231" t="s">
        <v>77</v>
      </c>
      <c r="AA231" t="s">
        <v>161</v>
      </c>
      <c r="AB231" t="s">
        <v>97</v>
      </c>
      <c r="AC231">
        <v>3.684657277558432E-2</v>
      </c>
      <c r="AD231" t="s">
        <v>77</v>
      </c>
    </row>
    <row r="232" spans="17:30" x14ac:dyDescent="0.25">
      <c r="Q232" t="s">
        <v>121</v>
      </c>
      <c r="R232" t="s">
        <v>98</v>
      </c>
      <c r="S232">
        <v>2.3857893032882067E-2</v>
      </c>
      <c r="T232" t="s">
        <v>77</v>
      </c>
      <c r="V232" t="s">
        <v>141</v>
      </c>
      <c r="W232" t="s">
        <v>98</v>
      </c>
      <c r="X232">
        <v>1.1320794731980577E-2</v>
      </c>
      <c r="Y232" t="s">
        <v>77</v>
      </c>
      <c r="AA232" t="s">
        <v>161</v>
      </c>
      <c r="AB232" t="s">
        <v>98</v>
      </c>
      <c r="AC232">
        <v>1.4445133305474726E-2</v>
      </c>
      <c r="AD232" t="s">
        <v>77</v>
      </c>
    </row>
    <row r="233" spans="17:30" x14ac:dyDescent="0.25">
      <c r="Q233" t="s">
        <v>121</v>
      </c>
      <c r="R233" t="s">
        <v>99</v>
      </c>
      <c r="S233">
        <v>5.5822874952385526E-2</v>
      </c>
      <c r="T233" t="s">
        <v>77</v>
      </c>
      <c r="V233" t="s">
        <v>141</v>
      </c>
      <c r="W233" t="s">
        <v>99</v>
      </c>
      <c r="X233">
        <v>8.6282053244019549E-3</v>
      </c>
      <c r="Y233" t="s">
        <v>77</v>
      </c>
      <c r="AA233" t="s">
        <v>161</v>
      </c>
      <c r="AB233" t="s">
        <v>99</v>
      </c>
      <c r="AC233">
        <v>1.3984697287255533E-2</v>
      </c>
      <c r="AD233" t="s">
        <v>77</v>
      </c>
    </row>
    <row r="234" spans="17:30" x14ac:dyDescent="0.25">
      <c r="Q234" t="s">
        <v>121</v>
      </c>
      <c r="R234" t="s">
        <v>100</v>
      </c>
      <c r="S234">
        <v>7.1665407053571495E-2</v>
      </c>
      <c r="T234" t="s">
        <v>77</v>
      </c>
      <c r="V234" t="s">
        <v>141</v>
      </c>
      <c r="W234" t="s">
        <v>100</v>
      </c>
      <c r="X234">
        <v>1.0356118024668596E-2</v>
      </c>
      <c r="Y234" t="s">
        <v>77</v>
      </c>
      <c r="AA234" t="s">
        <v>161</v>
      </c>
      <c r="AB234" t="s">
        <v>100</v>
      </c>
      <c r="AC234">
        <v>1.3960747105414098E-2</v>
      </c>
      <c r="AD234" t="s">
        <v>77</v>
      </c>
    </row>
    <row r="235" spans="17:30" x14ac:dyDescent="0.25">
      <c r="Q235" t="s">
        <v>121</v>
      </c>
      <c r="R235" t="s">
        <v>101</v>
      </c>
      <c r="S235">
        <v>7.2029059895672834E-2</v>
      </c>
      <c r="T235" t="s">
        <v>77</v>
      </c>
      <c r="V235" t="s">
        <v>141</v>
      </c>
      <c r="W235" t="s">
        <v>101</v>
      </c>
      <c r="X235">
        <v>9.1706520452242667E-3</v>
      </c>
      <c r="Y235" t="s">
        <v>77</v>
      </c>
      <c r="AA235" t="s">
        <v>161</v>
      </c>
      <c r="AB235" t="s">
        <v>101</v>
      </c>
      <c r="AC235">
        <v>1.3325001579276581E-2</v>
      </c>
      <c r="AD235" t="s">
        <v>77</v>
      </c>
    </row>
    <row r="236" spans="17:30" x14ac:dyDescent="0.25">
      <c r="Q236" t="s">
        <v>121</v>
      </c>
      <c r="R236" t="s">
        <v>102</v>
      </c>
      <c r="S236">
        <v>7.095404570255702E-2</v>
      </c>
      <c r="T236" t="s">
        <v>77</v>
      </c>
      <c r="V236" t="s">
        <v>141</v>
      </c>
      <c r="W236" t="s">
        <v>102</v>
      </c>
      <c r="X236">
        <v>1.1343584617069078E-2</v>
      </c>
      <c r="Y236" t="s">
        <v>77</v>
      </c>
      <c r="AA236" t="s">
        <v>161</v>
      </c>
      <c r="AB236" t="s">
        <v>102</v>
      </c>
      <c r="AC236">
        <v>1.478936399557928E-2</v>
      </c>
      <c r="AD236" t="s">
        <v>77</v>
      </c>
    </row>
    <row r="237" spans="17:30" x14ac:dyDescent="0.25">
      <c r="Q237" t="s">
        <v>121</v>
      </c>
      <c r="R237" t="s">
        <v>103</v>
      </c>
      <c r="S237">
        <v>6.2954168848161907E-2</v>
      </c>
      <c r="T237" t="s">
        <v>77</v>
      </c>
      <c r="V237" t="s">
        <v>141</v>
      </c>
      <c r="W237" t="s">
        <v>103</v>
      </c>
      <c r="X237">
        <v>1.2072272802916955E-2</v>
      </c>
      <c r="Y237" t="s">
        <v>77</v>
      </c>
      <c r="AA237" t="s">
        <v>161</v>
      </c>
      <c r="AB237" t="s">
        <v>103</v>
      </c>
      <c r="AC237">
        <v>1.5218315633278265E-2</v>
      </c>
      <c r="AD237" t="s">
        <v>77</v>
      </c>
    </row>
    <row r="238" spans="17:30" x14ac:dyDescent="0.25">
      <c r="Q238" t="s">
        <v>121</v>
      </c>
      <c r="R238" t="s">
        <v>104</v>
      </c>
      <c r="S238">
        <v>4.2424792604215972E-2</v>
      </c>
      <c r="T238" t="s">
        <v>77</v>
      </c>
      <c r="V238" t="s">
        <v>141</v>
      </c>
      <c r="W238" t="s">
        <v>104</v>
      </c>
      <c r="X238">
        <v>1.1521575011645965E-2</v>
      </c>
      <c r="Y238" t="s">
        <v>77</v>
      </c>
      <c r="AA238" t="s">
        <v>161</v>
      </c>
      <c r="AB238" t="s">
        <v>104</v>
      </c>
      <c r="AC238">
        <v>1.428253882334546E-2</v>
      </c>
      <c r="AD238" t="s">
        <v>77</v>
      </c>
    </row>
    <row r="239" spans="17:30" x14ac:dyDescent="0.25">
      <c r="Q239" t="s">
        <v>121</v>
      </c>
      <c r="R239" t="s">
        <v>105</v>
      </c>
      <c r="S239">
        <v>1.3495552268329178E-2</v>
      </c>
      <c r="T239" t="s">
        <v>77</v>
      </c>
      <c r="V239" t="s">
        <v>141</v>
      </c>
      <c r="W239" t="s">
        <v>105</v>
      </c>
      <c r="X239">
        <v>1.285764459182967E-2</v>
      </c>
      <c r="Y239" t="s">
        <v>77</v>
      </c>
      <c r="AA239" t="s">
        <v>161</v>
      </c>
      <c r="AB239" t="s">
        <v>105</v>
      </c>
      <c r="AC239">
        <v>1.3864062394453452E-2</v>
      </c>
      <c r="AD239" t="s">
        <v>77</v>
      </c>
    </row>
    <row r="240" spans="17:30" x14ac:dyDescent="0.25">
      <c r="Q240" t="s">
        <v>121</v>
      </c>
      <c r="R240" t="s">
        <v>106</v>
      </c>
      <c r="S240">
        <v>0</v>
      </c>
      <c r="T240" t="s">
        <v>77</v>
      </c>
      <c r="V240" t="s">
        <v>141</v>
      </c>
      <c r="W240" t="s">
        <v>106</v>
      </c>
      <c r="X240">
        <v>2.2068212512187477E-2</v>
      </c>
      <c r="Y240" t="s">
        <v>77</v>
      </c>
      <c r="AA240" t="s">
        <v>161</v>
      </c>
      <c r="AB240" t="s">
        <v>106</v>
      </c>
      <c r="AC240">
        <v>2.1455443903133357E-2</v>
      </c>
      <c r="AD240" t="s">
        <v>77</v>
      </c>
    </row>
    <row r="241" spans="17:30" x14ac:dyDescent="0.25">
      <c r="Q241" t="s">
        <v>121</v>
      </c>
      <c r="R241" t="s">
        <v>107</v>
      </c>
      <c r="S241">
        <v>0</v>
      </c>
      <c r="T241" t="s">
        <v>77</v>
      </c>
      <c r="V241" t="s">
        <v>141</v>
      </c>
      <c r="W241" t="s">
        <v>107</v>
      </c>
      <c r="X241">
        <v>5.4646381729829829E-2</v>
      </c>
      <c r="Y241" t="s">
        <v>77</v>
      </c>
      <c r="AA241" t="s">
        <v>161</v>
      </c>
      <c r="AB241" t="s">
        <v>107</v>
      </c>
      <c r="AC241">
        <v>5.31160549699147E-2</v>
      </c>
      <c r="AD241" t="s">
        <v>77</v>
      </c>
    </row>
    <row r="242" spans="17:30" x14ac:dyDescent="0.25">
      <c r="Q242" t="s">
        <v>121</v>
      </c>
      <c r="R242" t="s">
        <v>108</v>
      </c>
      <c r="S242">
        <v>1.2529815494235874E-3</v>
      </c>
      <c r="T242" t="s">
        <v>77</v>
      </c>
      <c r="V242" t="s">
        <v>141</v>
      </c>
      <c r="W242" t="s">
        <v>108</v>
      </c>
      <c r="X242">
        <v>2.1549296656486073E-2</v>
      </c>
      <c r="Y242" t="s">
        <v>77</v>
      </c>
      <c r="AA242" t="s">
        <v>161</v>
      </c>
      <c r="AB242" t="s">
        <v>108</v>
      </c>
      <c r="AC242">
        <v>2.1349593459606356E-2</v>
      </c>
      <c r="AD242" t="s">
        <v>77</v>
      </c>
    </row>
    <row r="243" spans="17:30" x14ac:dyDescent="0.25">
      <c r="Q243" t="s">
        <v>121</v>
      </c>
      <c r="R243" t="s">
        <v>109</v>
      </c>
      <c r="S243">
        <v>1.5468210639524053E-2</v>
      </c>
      <c r="T243" t="s">
        <v>77</v>
      </c>
      <c r="V243" t="s">
        <v>141</v>
      </c>
      <c r="W243" t="s">
        <v>109</v>
      </c>
      <c r="X243">
        <v>2.0964735970990991E-2</v>
      </c>
      <c r="Y243" t="s">
        <v>77</v>
      </c>
      <c r="AA243" t="s">
        <v>161</v>
      </c>
      <c r="AB243" t="s">
        <v>109</v>
      </c>
      <c r="AC243">
        <v>2.1739650121032014E-2</v>
      </c>
      <c r="AD243" t="s">
        <v>77</v>
      </c>
    </row>
    <row r="244" spans="17:30" x14ac:dyDescent="0.25">
      <c r="Q244" t="s">
        <v>121</v>
      </c>
      <c r="R244" t="s">
        <v>110</v>
      </c>
      <c r="S244">
        <v>3.2449039368881154E-2</v>
      </c>
      <c r="T244" t="s">
        <v>77</v>
      </c>
      <c r="V244" t="s">
        <v>141</v>
      </c>
      <c r="W244" t="s">
        <v>110</v>
      </c>
      <c r="X244">
        <v>1.9510505705475363E-2</v>
      </c>
      <c r="Y244" t="s">
        <v>77</v>
      </c>
      <c r="AA244" t="s">
        <v>161</v>
      </c>
      <c r="AB244" t="s">
        <v>110</v>
      </c>
      <c r="AC244">
        <v>2.2230240344577743E-2</v>
      </c>
      <c r="AD244" t="s">
        <v>77</v>
      </c>
    </row>
    <row r="245" spans="17:30" x14ac:dyDescent="0.25">
      <c r="Q245" t="s">
        <v>121</v>
      </c>
      <c r="R245" t="s">
        <v>111</v>
      </c>
      <c r="S245">
        <v>3.5036440979273366E-2</v>
      </c>
      <c r="T245" t="s">
        <v>77</v>
      </c>
      <c r="V245" t="s">
        <v>141</v>
      </c>
      <c r="W245" t="s">
        <v>111</v>
      </c>
      <c r="X245">
        <v>1.9468845585585801E-2</v>
      </c>
      <c r="Y245" t="s">
        <v>77</v>
      </c>
      <c r="AA245" t="s">
        <v>161</v>
      </c>
      <c r="AB245" t="s">
        <v>111</v>
      </c>
      <c r="AC245">
        <v>2.164614678300562E-2</v>
      </c>
      <c r="AD245" t="s">
        <v>77</v>
      </c>
    </row>
    <row r="246" spans="17:30" x14ac:dyDescent="0.25">
      <c r="Q246" t="s">
        <v>121</v>
      </c>
      <c r="R246" t="s">
        <v>112</v>
      </c>
      <c r="S246">
        <v>3.4967610954316851E-2</v>
      </c>
      <c r="T246" t="s">
        <v>77</v>
      </c>
      <c r="V246" t="s">
        <v>141</v>
      </c>
      <c r="W246" t="s">
        <v>112</v>
      </c>
      <c r="X246">
        <v>2.0358228039977073E-2</v>
      </c>
      <c r="Y246" t="s">
        <v>77</v>
      </c>
      <c r="AA246" t="s">
        <v>161</v>
      </c>
      <c r="AB246" t="s">
        <v>112</v>
      </c>
      <c r="AC246">
        <v>2.1276326383934698E-2</v>
      </c>
      <c r="AD246" t="s">
        <v>77</v>
      </c>
    </row>
    <row r="247" spans="17:30" x14ac:dyDescent="0.25">
      <c r="Q247" t="s">
        <v>121</v>
      </c>
      <c r="R247" t="s">
        <v>113</v>
      </c>
      <c r="S247">
        <v>2.2760828729358109E-2</v>
      </c>
      <c r="T247" t="s">
        <v>77</v>
      </c>
      <c r="V247" t="s">
        <v>141</v>
      </c>
      <c r="W247" t="s">
        <v>113</v>
      </c>
      <c r="X247">
        <v>2.1088371092701202E-2</v>
      </c>
      <c r="Y247" t="s">
        <v>77</v>
      </c>
      <c r="AA247" t="s">
        <v>161</v>
      </c>
      <c r="AB247" t="s">
        <v>113</v>
      </c>
      <c r="AC247">
        <v>2.1386795110065172E-2</v>
      </c>
      <c r="AD247" t="s">
        <v>77</v>
      </c>
    </row>
    <row r="248" spans="17:30" x14ac:dyDescent="0.25">
      <c r="Q248" t="s">
        <v>121</v>
      </c>
      <c r="R248" t="s">
        <v>114</v>
      </c>
      <c r="S248">
        <v>6.5742033573930707E-3</v>
      </c>
      <c r="T248" t="s">
        <v>77</v>
      </c>
      <c r="V248" t="s">
        <v>141</v>
      </c>
      <c r="W248" t="s">
        <v>114</v>
      </c>
      <c r="X248">
        <v>2.3655366619797349E-2</v>
      </c>
      <c r="Y248" t="s">
        <v>77</v>
      </c>
      <c r="AA248" t="s">
        <v>161</v>
      </c>
      <c r="AB248" t="s">
        <v>114</v>
      </c>
      <c r="AC248">
        <v>2.1693042998971821E-2</v>
      </c>
      <c r="AD248" t="s">
        <v>77</v>
      </c>
    </row>
    <row r="249" spans="17:30" x14ac:dyDescent="0.25">
      <c r="Q249" t="s">
        <v>121</v>
      </c>
      <c r="R249" t="s">
        <v>115</v>
      </c>
      <c r="S249">
        <v>0</v>
      </c>
      <c r="T249" t="s">
        <v>77</v>
      </c>
      <c r="V249" t="s">
        <v>141</v>
      </c>
      <c r="W249" t="s">
        <v>115</v>
      </c>
      <c r="X249">
        <v>2.5507666667471184E-2</v>
      </c>
      <c r="Y249" t="s">
        <v>77</v>
      </c>
      <c r="AA249" t="s">
        <v>161</v>
      </c>
      <c r="AB249" t="s">
        <v>115</v>
      </c>
      <c r="AC249">
        <v>2.1984636584081292E-2</v>
      </c>
      <c r="AD249" t="s">
        <v>77</v>
      </c>
    </row>
    <row r="250" spans="17:30" x14ac:dyDescent="0.25">
      <c r="Q250" t="s">
        <v>121</v>
      </c>
      <c r="R250" t="s">
        <v>116</v>
      </c>
      <c r="S250">
        <v>0</v>
      </c>
      <c r="T250" t="s">
        <v>77</v>
      </c>
      <c r="V250" t="s">
        <v>141</v>
      </c>
      <c r="W250" t="s">
        <v>116</v>
      </c>
      <c r="X250">
        <v>3.7504785616130992E-2</v>
      </c>
      <c r="Y250" t="s">
        <v>77</v>
      </c>
      <c r="AA250" t="s">
        <v>161</v>
      </c>
      <c r="AB250" t="s">
        <v>116</v>
      </c>
      <c r="AC250">
        <v>3.3150450407865018E-2</v>
      </c>
      <c r="AD250" t="s">
        <v>77</v>
      </c>
    </row>
    <row r="251" spans="17:30" x14ac:dyDescent="0.25">
      <c r="Q251" t="s">
        <v>122</v>
      </c>
      <c r="R251" t="s">
        <v>76</v>
      </c>
      <c r="S251">
        <v>0</v>
      </c>
      <c r="T251" t="s">
        <v>77</v>
      </c>
      <c r="V251" t="s">
        <v>142</v>
      </c>
      <c r="W251" t="s">
        <v>76</v>
      </c>
      <c r="X251">
        <v>7.2492893462700006E-2</v>
      </c>
      <c r="Y251" t="s">
        <v>77</v>
      </c>
      <c r="AA251" t="s">
        <v>162</v>
      </c>
      <c r="AB251" t="s">
        <v>76</v>
      </c>
      <c r="AC251">
        <v>6.1389948029357003E-2</v>
      </c>
      <c r="AD251" t="s">
        <v>77</v>
      </c>
    </row>
    <row r="252" spans="17:30" x14ac:dyDescent="0.25">
      <c r="Q252" t="s">
        <v>122</v>
      </c>
      <c r="R252" t="s">
        <v>78</v>
      </c>
      <c r="S252">
        <v>0</v>
      </c>
      <c r="T252" t="s">
        <v>77</v>
      </c>
      <c r="V252" t="s">
        <v>142</v>
      </c>
      <c r="W252" t="s">
        <v>78</v>
      </c>
      <c r="X252">
        <v>2.928235087440368E-2</v>
      </c>
      <c r="Y252" t="s">
        <v>77</v>
      </c>
      <c r="AA252" t="s">
        <v>162</v>
      </c>
      <c r="AB252" t="s">
        <v>78</v>
      </c>
      <c r="AC252">
        <v>2.4993651605602865E-2</v>
      </c>
      <c r="AD252" t="s">
        <v>77</v>
      </c>
    </row>
    <row r="253" spans="17:30" x14ac:dyDescent="0.25">
      <c r="Q253" t="s">
        <v>122</v>
      </c>
      <c r="R253" t="s">
        <v>79</v>
      </c>
      <c r="S253">
        <v>5.2264294840353661E-4</v>
      </c>
      <c r="T253" t="s">
        <v>77</v>
      </c>
      <c r="V253" t="s">
        <v>142</v>
      </c>
      <c r="W253" t="s">
        <v>79</v>
      </c>
      <c r="X253">
        <v>2.9470871504238032E-2</v>
      </c>
      <c r="Y253" t="s">
        <v>77</v>
      </c>
      <c r="AA253" t="s">
        <v>162</v>
      </c>
      <c r="AB253" t="s">
        <v>79</v>
      </c>
      <c r="AC253">
        <v>2.5625285911921196E-2</v>
      </c>
      <c r="AD253" t="s">
        <v>77</v>
      </c>
    </row>
    <row r="254" spans="17:30" x14ac:dyDescent="0.25">
      <c r="Q254" t="s">
        <v>122</v>
      </c>
      <c r="R254" t="s">
        <v>80</v>
      </c>
      <c r="S254">
        <v>1.0741540828322311E-2</v>
      </c>
      <c r="T254" t="s">
        <v>77</v>
      </c>
      <c r="V254" t="s">
        <v>142</v>
      </c>
      <c r="W254" t="s">
        <v>80</v>
      </c>
      <c r="X254">
        <v>2.878388542430568E-2</v>
      </c>
      <c r="Y254" t="s">
        <v>77</v>
      </c>
      <c r="AA254" t="s">
        <v>162</v>
      </c>
      <c r="AB254" t="s">
        <v>80</v>
      </c>
      <c r="AC254">
        <v>2.5513525679906005E-2</v>
      </c>
      <c r="AD254" t="s">
        <v>77</v>
      </c>
    </row>
    <row r="255" spans="17:30" x14ac:dyDescent="0.25">
      <c r="Q255" t="s">
        <v>122</v>
      </c>
      <c r="R255" t="s">
        <v>81</v>
      </c>
      <c r="S255">
        <v>2.0879207262510122E-2</v>
      </c>
      <c r="T255" t="s">
        <v>77</v>
      </c>
      <c r="V255" t="s">
        <v>142</v>
      </c>
      <c r="W255" t="s">
        <v>81</v>
      </c>
      <c r="X255">
        <v>2.6300215430462223E-2</v>
      </c>
      <c r="Y255" t="s">
        <v>77</v>
      </c>
      <c r="AA255" t="s">
        <v>162</v>
      </c>
      <c r="AB255" t="s">
        <v>81</v>
      </c>
      <c r="AC255">
        <v>2.620118000105022E-2</v>
      </c>
      <c r="AD255" t="s">
        <v>77</v>
      </c>
    </row>
    <row r="256" spans="17:30" x14ac:dyDescent="0.25">
      <c r="Q256" t="s">
        <v>122</v>
      </c>
      <c r="R256" t="s">
        <v>82</v>
      </c>
      <c r="S256">
        <v>2.0027830253713887E-2</v>
      </c>
      <c r="T256" t="s">
        <v>77</v>
      </c>
      <c r="V256" t="s">
        <v>142</v>
      </c>
      <c r="W256" t="s">
        <v>82</v>
      </c>
      <c r="X256">
        <v>2.5330257426720109E-2</v>
      </c>
      <c r="Y256" t="s">
        <v>77</v>
      </c>
      <c r="AA256" t="s">
        <v>162</v>
      </c>
      <c r="AB256" t="s">
        <v>82</v>
      </c>
      <c r="AC256">
        <v>2.6616941792328607E-2</v>
      </c>
      <c r="AD256" t="s">
        <v>77</v>
      </c>
    </row>
    <row r="257" spans="17:30" x14ac:dyDescent="0.25">
      <c r="Q257" t="s">
        <v>122</v>
      </c>
      <c r="R257" t="s">
        <v>83</v>
      </c>
      <c r="S257">
        <v>1.0451871264120054E-2</v>
      </c>
      <c r="T257" t="s">
        <v>77</v>
      </c>
      <c r="V257" t="s">
        <v>142</v>
      </c>
      <c r="W257" t="s">
        <v>83</v>
      </c>
      <c r="X257">
        <v>2.6524782320887213E-2</v>
      </c>
      <c r="Y257" t="s">
        <v>77</v>
      </c>
      <c r="AA257" t="s">
        <v>162</v>
      </c>
      <c r="AB257" t="s">
        <v>83</v>
      </c>
      <c r="AC257">
        <v>2.689587746922956E-2</v>
      </c>
      <c r="AD257" t="s">
        <v>77</v>
      </c>
    </row>
    <row r="258" spans="17:30" x14ac:dyDescent="0.25">
      <c r="Q258" t="s">
        <v>122</v>
      </c>
      <c r="R258" t="s">
        <v>84</v>
      </c>
      <c r="S258">
        <v>1.1450781519910021E-3</v>
      </c>
      <c r="T258" t="s">
        <v>77</v>
      </c>
      <c r="V258" t="s">
        <v>142</v>
      </c>
      <c r="W258" t="s">
        <v>84</v>
      </c>
      <c r="X258">
        <v>2.8974399020685611E-2</v>
      </c>
      <c r="Y258" t="s">
        <v>77</v>
      </c>
      <c r="AA258" t="s">
        <v>162</v>
      </c>
      <c r="AB258" t="s">
        <v>84</v>
      </c>
      <c r="AC258">
        <v>2.7648103693916234E-2</v>
      </c>
      <c r="AD258" t="s">
        <v>77</v>
      </c>
    </row>
    <row r="259" spans="17:30" x14ac:dyDescent="0.25">
      <c r="Q259" t="s">
        <v>122</v>
      </c>
      <c r="R259" t="s">
        <v>85</v>
      </c>
      <c r="S259">
        <v>0</v>
      </c>
      <c r="T259" t="s">
        <v>77</v>
      </c>
      <c r="V259" t="s">
        <v>142</v>
      </c>
      <c r="W259" t="s">
        <v>85</v>
      </c>
      <c r="X259">
        <v>2.9662392209169528E-2</v>
      </c>
      <c r="Y259" t="s">
        <v>77</v>
      </c>
      <c r="AA259" t="s">
        <v>162</v>
      </c>
      <c r="AB259" t="s">
        <v>85</v>
      </c>
      <c r="AC259">
        <v>2.7652578750868476E-2</v>
      </c>
      <c r="AD259" t="s">
        <v>77</v>
      </c>
    </row>
    <row r="260" spans="17:30" x14ac:dyDescent="0.25">
      <c r="Q260" t="s">
        <v>122</v>
      </c>
      <c r="R260" t="s">
        <v>86</v>
      </c>
      <c r="S260">
        <v>0</v>
      </c>
      <c r="T260" t="s">
        <v>77</v>
      </c>
      <c r="V260" t="s">
        <v>142</v>
      </c>
      <c r="W260" t="s">
        <v>86</v>
      </c>
      <c r="X260">
        <v>4.429349621462203E-2</v>
      </c>
      <c r="Y260" t="s">
        <v>77</v>
      </c>
      <c r="AA260" t="s">
        <v>162</v>
      </c>
      <c r="AB260" t="s">
        <v>86</v>
      </c>
      <c r="AC260">
        <v>3.8994157236440452E-2</v>
      </c>
      <c r="AD260" t="s">
        <v>77</v>
      </c>
    </row>
    <row r="261" spans="17:30" x14ac:dyDescent="0.25">
      <c r="Q261" t="s">
        <v>122</v>
      </c>
      <c r="R261" t="s">
        <v>87</v>
      </c>
      <c r="S261">
        <v>0</v>
      </c>
      <c r="T261" t="s">
        <v>77</v>
      </c>
      <c r="V261" t="s">
        <v>142</v>
      </c>
      <c r="W261" t="s">
        <v>87</v>
      </c>
      <c r="X261">
        <v>6.0814454089247162E-2</v>
      </c>
      <c r="Y261" t="s">
        <v>77</v>
      </c>
      <c r="AA261" t="s">
        <v>162</v>
      </c>
      <c r="AB261" t="s">
        <v>87</v>
      </c>
      <c r="AC261">
        <v>5.2124649232922413E-2</v>
      </c>
      <c r="AD261" t="s">
        <v>77</v>
      </c>
    </row>
    <row r="262" spans="17:30" x14ac:dyDescent="0.25">
      <c r="Q262" t="s">
        <v>122</v>
      </c>
      <c r="R262" t="s">
        <v>88</v>
      </c>
      <c r="S262">
        <v>9.8278015585323876E-3</v>
      </c>
      <c r="T262" t="s">
        <v>77</v>
      </c>
      <c r="V262" t="s">
        <v>142</v>
      </c>
      <c r="W262" t="s">
        <v>88</v>
      </c>
      <c r="X262">
        <v>2.3076128463598612E-2</v>
      </c>
      <c r="Y262" t="s">
        <v>77</v>
      </c>
      <c r="AA262" t="s">
        <v>162</v>
      </c>
      <c r="AB262" t="s">
        <v>88</v>
      </c>
      <c r="AC262">
        <v>1.9853805168248639E-2</v>
      </c>
      <c r="AD262" t="s">
        <v>77</v>
      </c>
    </row>
    <row r="263" spans="17:30" x14ac:dyDescent="0.25">
      <c r="Q263" t="s">
        <v>122</v>
      </c>
      <c r="R263" t="s">
        <v>89</v>
      </c>
      <c r="S263">
        <v>4.2493685193616522E-2</v>
      </c>
      <c r="T263" t="s">
        <v>77</v>
      </c>
      <c r="V263" t="s">
        <v>142</v>
      </c>
      <c r="W263" t="s">
        <v>89</v>
      </c>
      <c r="X263">
        <v>2.0084510320959235E-2</v>
      </c>
      <c r="Y263" t="s">
        <v>77</v>
      </c>
      <c r="AA263" t="s">
        <v>162</v>
      </c>
      <c r="AB263" t="s">
        <v>89</v>
      </c>
      <c r="AC263">
        <v>1.8936728582501675E-2</v>
      </c>
      <c r="AD263" t="s">
        <v>77</v>
      </c>
    </row>
    <row r="264" spans="17:30" x14ac:dyDescent="0.25">
      <c r="Q264" t="s">
        <v>122</v>
      </c>
      <c r="R264" t="s">
        <v>90</v>
      </c>
      <c r="S264">
        <v>7.128779182575129E-2</v>
      </c>
      <c r="T264" t="s">
        <v>77</v>
      </c>
      <c r="V264" t="s">
        <v>142</v>
      </c>
      <c r="W264" t="s">
        <v>90</v>
      </c>
      <c r="X264">
        <v>1.9367041201437368E-2</v>
      </c>
      <c r="Y264" t="s">
        <v>77</v>
      </c>
      <c r="AA264" t="s">
        <v>162</v>
      </c>
      <c r="AB264" t="s">
        <v>90</v>
      </c>
      <c r="AC264">
        <v>1.8716668873218947E-2</v>
      </c>
      <c r="AD264" t="s">
        <v>77</v>
      </c>
    </row>
    <row r="265" spans="17:30" x14ac:dyDescent="0.25">
      <c r="Q265" t="s">
        <v>122</v>
      </c>
      <c r="R265" t="s">
        <v>91</v>
      </c>
      <c r="S265">
        <v>7.3557825735228774E-2</v>
      </c>
      <c r="T265" t="s">
        <v>77</v>
      </c>
      <c r="V265" t="s">
        <v>142</v>
      </c>
      <c r="W265" t="s">
        <v>91</v>
      </c>
      <c r="X265">
        <v>1.7967735157827975E-2</v>
      </c>
      <c r="Y265" t="s">
        <v>77</v>
      </c>
      <c r="AA265" t="s">
        <v>162</v>
      </c>
      <c r="AB265" t="s">
        <v>91</v>
      </c>
      <c r="AC265">
        <v>1.815186280251041E-2</v>
      </c>
      <c r="AD265" t="s">
        <v>77</v>
      </c>
    </row>
    <row r="266" spans="17:30" x14ac:dyDescent="0.25">
      <c r="Q266" t="s">
        <v>122</v>
      </c>
      <c r="R266" t="s">
        <v>92</v>
      </c>
      <c r="S266">
        <v>6.9221927939856459E-2</v>
      </c>
      <c r="T266" t="s">
        <v>77</v>
      </c>
      <c r="V266" t="s">
        <v>142</v>
      </c>
      <c r="W266" t="s">
        <v>92</v>
      </c>
      <c r="X266">
        <v>2.0065930704147788E-2</v>
      </c>
      <c r="Y266" t="s">
        <v>77</v>
      </c>
      <c r="AA266" t="s">
        <v>162</v>
      </c>
      <c r="AB266" t="s">
        <v>92</v>
      </c>
      <c r="AC266">
        <v>1.9121826872892596E-2</v>
      </c>
      <c r="AD266" t="s">
        <v>77</v>
      </c>
    </row>
    <row r="267" spans="17:30" x14ac:dyDescent="0.25">
      <c r="Q267" t="s">
        <v>122</v>
      </c>
      <c r="R267" t="s">
        <v>93</v>
      </c>
      <c r="S267">
        <v>6.1142781897618292E-2</v>
      </c>
      <c r="T267" t="s">
        <v>77</v>
      </c>
      <c r="V267" t="s">
        <v>142</v>
      </c>
      <c r="W267" t="s">
        <v>93</v>
      </c>
      <c r="X267">
        <v>2.0356071679875888E-2</v>
      </c>
      <c r="Y267" t="s">
        <v>77</v>
      </c>
      <c r="AA267" t="s">
        <v>162</v>
      </c>
      <c r="AB267" t="s">
        <v>93</v>
      </c>
      <c r="AC267">
        <v>1.9619796224870888E-2</v>
      </c>
      <c r="AD267" t="s">
        <v>77</v>
      </c>
    </row>
    <row r="268" spans="17:30" x14ac:dyDescent="0.25">
      <c r="Q268" t="s">
        <v>122</v>
      </c>
      <c r="R268" t="s">
        <v>94</v>
      </c>
      <c r="S268">
        <v>3.6340571884965318E-2</v>
      </c>
      <c r="T268" t="s">
        <v>77</v>
      </c>
      <c r="V268" t="s">
        <v>142</v>
      </c>
      <c r="W268" t="s">
        <v>94</v>
      </c>
      <c r="X268">
        <v>2.1348426813670607E-2</v>
      </c>
      <c r="Y268" t="s">
        <v>77</v>
      </c>
      <c r="AA268" t="s">
        <v>162</v>
      </c>
      <c r="AB268" t="s">
        <v>94</v>
      </c>
      <c r="AC268">
        <v>2.0773272728011601E-2</v>
      </c>
      <c r="AD268" t="s">
        <v>77</v>
      </c>
    </row>
    <row r="269" spans="17:30" x14ac:dyDescent="0.25">
      <c r="Q269" t="s">
        <v>122</v>
      </c>
      <c r="R269" t="s">
        <v>95</v>
      </c>
      <c r="S269">
        <v>6.2998968870300797E-3</v>
      </c>
      <c r="T269" t="s">
        <v>77</v>
      </c>
      <c r="V269" t="s">
        <v>142</v>
      </c>
      <c r="W269" t="s">
        <v>95</v>
      </c>
      <c r="X269">
        <v>2.407783120052507E-2</v>
      </c>
      <c r="Y269" t="s">
        <v>77</v>
      </c>
      <c r="AA269" t="s">
        <v>162</v>
      </c>
      <c r="AB269" t="s">
        <v>95</v>
      </c>
      <c r="AC269">
        <v>2.1772233999940438E-2</v>
      </c>
      <c r="AD269" t="s">
        <v>77</v>
      </c>
    </row>
    <row r="270" spans="17:30" x14ac:dyDescent="0.25">
      <c r="Q270" t="s">
        <v>122</v>
      </c>
      <c r="R270" t="s">
        <v>96</v>
      </c>
      <c r="S270">
        <v>0</v>
      </c>
      <c r="T270" t="s">
        <v>77</v>
      </c>
      <c r="V270" t="s">
        <v>142</v>
      </c>
      <c r="W270" t="s">
        <v>96</v>
      </c>
      <c r="X270">
        <v>3.7701610483660587E-2</v>
      </c>
      <c r="Y270" t="s">
        <v>77</v>
      </c>
      <c r="AA270" t="s">
        <v>162</v>
      </c>
      <c r="AB270" t="s">
        <v>96</v>
      </c>
      <c r="AC270">
        <v>3.2409096033385355E-2</v>
      </c>
      <c r="AD270" t="s">
        <v>77</v>
      </c>
    </row>
    <row r="271" spans="17:30" x14ac:dyDescent="0.25">
      <c r="Q271" t="s">
        <v>122</v>
      </c>
      <c r="R271" t="s">
        <v>97</v>
      </c>
      <c r="S271">
        <v>1.9218976728926336E-6</v>
      </c>
      <c r="T271" t="s">
        <v>77</v>
      </c>
      <c r="V271" t="s">
        <v>142</v>
      </c>
      <c r="W271" t="s">
        <v>97</v>
      </c>
      <c r="X271">
        <v>3.1808848893495424E-2</v>
      </c>
      <c r="Y271" t="s">
        <v>77</v>
      </c>
      <c r="AA271" t="s">
        <v>162</v>
      </c>
      <c r="AB271" t="s">
        <v>97</v>
      </c>
      <c r="AC271">
        <v>3.5571629603614992E-2</v>
      </c>
      <c r="AD271" t="s">
        <v>77</v>
      </c>
    </row>
    <row r="272" spans="17:30" x14ac:dyDescent="0.25">
      <c r="Q272" t="s">
        <v>122</v>
      </c>
      <c r="R272" t="s">
        <v>98</v>
      </c>
      <c r="S272">
        <v>1.9952576389854638E-2</v>
      </c>
      <c r="T272" t="s">
        <v>77</v>
      </c>
      <c r="V272" t="s">
        <v>142</v>
      </c>
      <c r="W272" t="s">
        <v>98</v>
      </c>
      <c r="X272">
        <v>1.002354427337873E-2</v>
      </c>
      <c r="Y272" t="s">
        <v>77</v>
      </c>
      <c r="AA272" t="s">
        <v>162</v>
      </c>
      <c r="AB272" t="s">
        <v>98</v>
      </c>
      <c r="AC272">
        <v>1.437107875430613E-2</v>
      </c>
      <c r="AD272" t="s">
        <v>77</v>
      </c>
    </row>
    <row r="273" spans="17:30" x14ac:dyDescent="0.25">
      <c r="Q273" t="s">
        <v>122</v>
      </c>
      <c r="R273" t="s">
        <v>99</v>
      </c>
      <c r="S273">
        <v>4.9446780422734732E-2</v>
      </c>
      <c r="T273" t="s">
        <v>77</v>
      </c>
      <c r="V273" t="s">
        <v>142</v>
      </c>
      <c r="W273" t="s">
        <v>99</v>
      </c>
      <c r="X273">
        <v>8.424015110684302E-3</v>
      </c>
      <c r="Y273" t="s">
        <v>77</v>
      </c>
      <c r="AA273" t="s">
        <v>162</v>
      </c>
      <c r="AB273" t="s">
        <v>99</v>
      </c>
      <c r="AC273">
        <v>1.4279458873963584E-2</v>
      </c>
      <c r="AD273" t="s">
        <v>77</v>
      </c>
    </row>
    <row r="274" spans="17:30" x14ac:dyDescent="0.25">
      <c r="Q274" t="s">
        <v>122</v>
      </c>
      <c r="R274" t="s">
        <v>100</v>
      </c>
      <c r="S274">
        <v>6.7153866200872922E-2</v>
      </c>
      <c r="T274" t="s">
        <v>77</v>
      </c>
      <c r="V274" t="s">
        <v>142</v>
      </c>
      <c r="W274" t="s">
        <v>100</v>
      </c>
      <c r="X274">
        <v>9.8485405762741476E-3</v>
      </c>
      <c r="Y274" t="s">
        <v>77</v>
      </c>
      <c r="AA274" t="s">
        <v>162</v>
      </c>
      <c r="AB274" t="s">
        <v>100</v>
      </c>
      <c r="AC274">
        <v>1.484324120126594E-2</v>
      </c>
      <c r="AD274" t="s">
        <v>77</v>
      </c>
    </row>
    <row r="275" spans="17:30" x14ac:dyDescent="0.25">
      <c r="Q275" t="s">
        <v>122</v>
      </c>
      <c r="R275" t="s">
        <v>101</v>
      </c>
      <c r="S275">
        <v>7.119255803763952E-2</v>
      </c>
      <c r="T275" t="s">
        <v>77</v>
      </c>
      <c r="V275" t="s">
        <v>142</v>
      </c>
      <c r="W275" t="s">
        <v>101</v>
      </c>
      <c r="X275">
        <v>8.6042411368707043E-3</v>
      </c>
      <c r="Y275" t="s">
        <v>77</v>
      </c>
      <c r="AA275" t="s">
        <v>162</v>
      </c>
      <c r="AB275" t="s">
        <v>101</v>
      </c>
      <c r="AC275">
        <v>1.3545530218836815E-2</v>
      </c>
      <c r="AD275" t="s">
        <v>77</v>
      </c>
    </row>
    <row r="276" spans="17:30" x14ac:dyDescent="0.25">
      <c r="Q276" t="s">
        <v>122</v>
      </c>
      <c r="R276" t="s">
        <v>102</v>
      </c>
      <c r="S276">
        <v>7.0496854729289182E-2</v>
      </c>
      <c r="T276" t="s">
        <v>77</v>
      </c>
      <c r="V276" t="s">
        <v>142</v>
      </c>
      <c r="W276" t="s">
        <v>102</v>
      </c>
      <c r="X276">
        <v>1.148051680869097E-2</v>
      </c>
      <c r="Y276" t="s">
        <v>77</v>
      </c>
      <c r="AA276" t="s">
        <v>162</v>
      </c>
      <c r="AB276" t="s">
        <v>102</v>
      </c>
      <c r="AC276">
        <v>1.3647466269950875E-2</v>
      </c>
      <c r="AD276" t="s">
        <v>77</v>
      </c>
    </row>
    <row r="277" spans="17:30" x14ac:dyDescent="0.25">
      <c r="Q277" t="s">
        <v>122</v>
      </c>
      <c r="R277" t="s">
        <v>103</v>
      </c>
      <c r="S277">
        <v>6.5802178519253351E-2</v>
      </c>
      <c r="T277" t="s">
        <v>77</v>
      </c>
      <c r="V277" t="s">
        <v>142</v>
      </c>
      <c r="W277" t="s">
        <v>103</v>
      </c>
      <c r="X277">
        <v>1.3136608779723462E-2</v>
      </c>
      <c r="Y277" t="s">
        <v>77</v>
      </c>
      <c r="AA277" t="s">
        <v>162</v>
      </c>
      <c r="AB277" t="s">
        <v>103</v>
      </c>
      <c r="AC277">
        <v>1.4133531941653789E-2</v>
      </c>
      <c r="AD277" t="s">
        <v>77</v>
      </c>
    </row>
    <row r="278" spans="17:30" x14ac:dyDescent="0.25">
      <c r="Q278" t="s">
        <v>122</v>
      </c>
      <c r="R278" t="s">
        <v>104</v>
      </c>
      <c r="S278">
        <v>4.8327124881215891E-2</v>
      </c>
      <c r="T278" t="s">
        <v>77</v>
      </c>
      <c r="V278" t="s">
        <v>142</v>
      </c>
      <c r="W278" t="s">
        <v>104</v>
      </c>
      <c r="X278">
        <v>1.2356508953430927E-2</v>
      </c>
      <c r="Y278" t="s">
        <v>77</v>
      </c>
      <c r="AA278" t="s">
        <v>162</v>
      </c>
      <c r="AB278" t="s">
        <v>104</v>
      </c>
      <c r="AC278">
        <v>1.4128763240881598E-2</v>
      </c>
      <c r="AD278" t="s">
        <v>77</v>
      </c>
    </row>
    <row r="279" spans="17:30" x14ac:dyDescent="0.25">
      <c r="Q279" t="s">
        <v>122</v>
      </c>
      <c r="R279" t="s">
        <v>105</v>
      </c>
      <c r="S279">
        <v>1.8528474649238839E-2</v>
      </c>
      <c r="T279" t="s">
        <v>77</v>
      </c>
      <c r="V279" t="s">
        <v>142</v>
      </c>
      <c r="W279" t="s">
        <v>105</v>
      </c>
      <c r="X279">
        <v>1.2730330643154809E-2</v>
      </c>
      <c r="Y279" t="s">
        <v>77</v>
      </c>
      <c r="AA279" t="s">
        <v>162</v>
      </c>
      <c r="AB279" t="s">
        <v>105</v>
      </c>
      <c r="AC279">
        <v>1.4741368634329873E-2</v>
      </c>
      <c r="AD279" t="s">
        <v>77</v>
      </c>
    </row>
    <row r="280" spans="17:30" x14ac:dyDescent="0.25">
      <c r="Q280" t="s">
        <v>122</v>
      </c>
      <c r="R280" t="s">
        <v>106</v>
      </c>
      <c r="S280">
        <v>0</v>
      </c>
      <c r="T280" t="s">
        <v>77</v>
      </c>
      <c r="V280" t="s">
        <v>142</v>
      </c>
      <c r="W280" t="s">
        <v>106</v>
      </c>
      <c r="X280">
        <v>2.0980984088673108E-2</v>
      </c>
      <c r="Y280" t="s">
        <v>77</v>
      </c>
      <c r="AA280" t="s">
        <v>162</v>
      </c>
      <c r="AB280" t="s">
        <v>106</v>
      </c>
      <c r="AC280">
        <v>2.2785795033321409E-2</v>
      </c>
      <c r="AD280" t="s">
        <v>77</v>
      </c>
    </row>
    <row r="281" spans="17:30" x14ac:dyDescent="0.25">
      <c r="Q281" t="s">
        <v>122</v>
      </c>
      <c r="R281" t="s">
        <v>107</v>
      </c>
      <c r="S281">
        <v>0</v>
      </c>
      <c r="T281" t="s">
        <v>77</v>
      </c>
      <c r="V281" t="s">
        <v>142</v>
      </c>
      <c r="W281" t="s">
        <v>107</v>
      </c>
      <c r="X281">
        <v>5.5178491135200632E-2</v>
      </c>
      <c r="Y281" t="s">
        <v>77</v>
      </c>
      <c r="AA281" t="s">
        <v>162</v>
      </c>
      <c r="AB281" t="s">
        <v>107</v>
      </c>
      <c r="AC281">
        <v>5.5676080265158391E-2</v>
      </c>
      <c r="AD281" t="s">
        <v>77</v>
      </c>
    </row>
    <row r="282" spans="17:30" x14ac:dyDescent="0.25">
      <c r="Q282" t="s">
        <v>122</v>
      </c>
      <c r="R282" t="s">
        <v>108</v>
      </c>
      <c r="S282">
        <v>1.0268267469721157E-3</v>
      </c>
      <c r="T282" t="s">
        <v>77</v>
      </c>
      <c r="V282" t="s">
        <v>142</v>
      </c>
      <c r="W282" t="s">
        <v>108</v>
      </c>
      <c r="X282">
        <v>2.0604885645241662E-2</v>
      </c>
      <c r="Y282" t="s">
        <v>77</v>
      </c>
      <c r="AA282" t="s">
        <v>162</v>
      </c>
      <c r="AB282" t="s">
        <v>108</v>
      </c>
      <c r="AC282">
        <v>2.1693622283086175E-2</v>
      </c>
      <c r="AD282" t="s">
        <v>77</v>
      </c>
    </row>
    <row r="283" spans="17:30" x14ac:dyDescent="0.25">
      <c r="Q283" t="s">
        <v>122</v>
      </c>
      <c r="R283" t="s">
        <v>109</v>
      </c>
      <c r="S283">
        <v>1.511960957064136E-2</v>
      </c>
      <c r="T283" t="s">
        <v>77</v>
      </c>
      <c r="V283" t="s">
        <v>142</v>
      </c>
      <c r="W283" t="s">
        <v>109</v>
      </c>
      <c r="X283">
        <v>1.9725692659090861E-2</v>
      </c>
      <c r="Y283" t="s">
        <v>77</v>
      </c>
      <c r="AA283" t="s">
        <v>162</v>
      </c>
      <c r="AB283" t="s">
        <v>109</v>
      </c>
      <c r="AC283">
        <v>2.2712275154181741E-2</v>
      </c>
      <c r="AD283" t="s">
        <v>77</v>
      </c>
    </row>
    <row r="284" spans="17:30" x14ac:dyDescent="0.25">
      <c r="Q284" t="s">
        <v>122</v>
      </c>
      <c r="R284" t="s">
        <v>110</v>
      </c>
      <c r="S284">
        <v>3.3280782634799465E-2</v>
      </c>
      <c r="T284" t="s">
        <v>77</v>
      </c>
      <c r="V284" t="s">
        <v>142</v>
      </c>
      <c r="W284" t="s">
        <v>110</v>
      </c>
      <c r="X284">
        <v>1.8888612485490848E-2</v>
      </c>
      <c r="Y284" t="s">
        <v>77</v>
      </c>
      <c r="AA284" t="s">
        <v>162</v>
      </c>
      <c r="AB284" t="s">
        <v>110</v>
      </c>
      <c r="AC284">
        <v>2.3007661559760025E-2</v>
      </c>
      <c r="AD284" t="s">
        <v>77</v>
      </c>
    </row>
    <row r="285" spans="17:30" x14ac:dyDescent="0.25">
      <c r="Q285" t="s">
        <v>122</v>
      </c>
      <c r="R285" t="s">
        <v>111</v>
      </c>
      <c r="S285">
        <v>3.5144438069717898E-2</v>
      </c>
      <c r="T285" t="s">
        <v>77</v>
      </c>
      <c r="V285" t="s">
        <v>142</v>
      </c>
      <c r="W285" t="s">
        <v>111</v>
      </c>
      <c r="X285">
        <v>1.8871178267626298E-2</v>
      </c>
      <c r="Y285" t="s">
        <v>77</v>
      </c>
      <c r="AA285" t="s">
        <v>162</v>
      </c>
      <c r="AB285" t="s">
        <v>111</v>
      </c>
      <c r="AC285">
        <v>2.2378053055622155E-2</v>
      </c>
      <c r="AD285" t="s">
        <v>77</v>
      </c>
    </row>
    <row r="286" spans="17:30" x14ac:dyDescent="0.25">
      <c r="Q286" t="s">
        <v>122</v>
      </c>
      <c r="R286" t="s">
        <v>112</v>
      </c>
      <c r="S286">
        <v>3.5380556766192617E-2</v>
      </c>
      <c r="T286" t="s">
        <v>77</v>
      </c>
      <c r="V286" t="s">
        <v>142</v>
      </c>
      <c r="W286" t="s">
        <v>112</v>
      </c>
      <c r="X286">
        <v>1.9342504596882346E-2</v>
      </c>
      <c r="Y286" t="s">
        <v>77</v>
      </c>
      <c r="AA286" t="s">
        <v>162</v>
      </c>
      <c r="AB286" t="s">
        <v>112</v>
      </c>
      <c r="AC286">
        <v>2.1812587026974563E-2</v>
      </c>
      <c r="AD286" t="s">
        <v>77</v>
      </c>
    </row>
    <row r="287" spans="17:30" x14ac:dyDescent="0.25">
      <c r="Q287" t="s">
        <v>122</v>
      </c>
      <c r="R287" t="s">
        <v>113</v>
      </c>
      <c r="S287">
        <v>2.6351984484901309E-2</v>
      </c>
      <c r="T287" t="s">
        <v>77</v>
      </c>
      <c r="V287" t="s">
        <v>142</v>
      </c>
      <c r="W287" t="s">
        <v>113</v>
      </c>
      <c r="X287">
        <v>2.0089779581029511E-2</v>
      </c>
      <c r="Y287" t="s">
        <v>77</v>
      </c>
      <c r="AA287" t="s">
        <v>162</v>
      </c>
      <c r="AB287" t="s">
        <v>113</v>
      </c>
      <c r="AC287">
        <v>2.196841280575491E-2</v>
      </c>
      <c r="AD287" t="s">
        <v>77</v>
      </c>
    </row>
    <row r="288" spans="17:30" x14ac:dyDescent="0.25">
      <c r="Q288" t="s">
        <v>122</v>
      </c>
      <c r="R288" t="s">
        <v>114</v>
      </c>
      <c r="S288">
        <v>8.8020555046988257E-3</v>
      </c>
      <c r="T288" t="s">
        <v>77</v>
      </c>
      <c r="V288" t="s">
        <v>142</v>
      </c>
      <c r="W288" t="s">
        <v>114</v>
      </c>
      <c r="X288">
        <v>2.2456432746282357E-2</v>
      </c>
      <c r="Y288" t="s">
        <v>77</v>
      </c>
      <c r="AA288" t="s">
        <v>162</v>
      </c>
      <c r="AB288" t="s">
        <v>114</v>
      </c>
      <c r="AC288">
        <v>2.3725826592165735E-2</v>
      </c>
      <c r="AD288" t="s">
        <v>77</v>
      </c>
    </row>
    <row r="289" spans="17:30" x14ac:dyDescent="0.25">
      <c r="Q289" t="s">
        <v>122</v>
      </c>
      <c r="R289" t="s">
        <v>115</v>
      </c>
      <c r="S289">
        <v>5.0956862641853029E-5</v>
      </c>
      <c r="T289" t="s">
        <v>77</v>
      </c>
      <c r="V289" t="s">
        <v>142</v>
      </c>
      <c r="W289" t="s">
        <v>115</v>
      </c>
      <c r="X289">
        <v>2.3796786394551277E-2</v>
      </c>
      <c r="Y289" t="s">
        <v>77</v>
      </c>
      <c r="AA289" t="s">
        <v>162</v>
      </c>
      <c r="AB289" t="s">
        <v>115</v>
      </c>
      <c r="AC289">
        <v>2.4998945173383295E-2</v>
      </c>
      <c r="AD289" t="s">
        <v>77</v>
      </c>
    </row>
    <row r="290" spans="17:30" x14ac:dyDescent="0.25">
      <c r="Q290" t="s">
        <v>122</v>
      </c>
      <c r="R290" t="s">
        <v>116</v>
      </c>
      <c r="S290">
        <v>0</v>
      </c>
      <c r="T290" t="s">
        <v>77</v>
      </c>
      <c r="V290" t="s">
        <v>142</v>
      </c>
      <c r="W290" t="s">
        <v>116</v>
      </c>
      <c r="X290">
        <v>3.5676213221086273E-2</v>
      </c>
      <c r="Y290" t="s">
        <v>77</v>
      </c>
      <c r="AA290" t="s">
        <v>162</v>
      </c>
      <c r="AB290" t="s">
        <v>116</v>
      </c>
      <c r="AC290">
        <v>3.6967481622665881E-2</v>
      </c>
      <c r="AD290" t="s">
        <v>77</v>
      </c>
    </row>
    <row r="291" spans="17:30" x14ac:dyDescent="0.25">
      <c r="Q291" t="s">
        <v>123</v>
      </c>
      <c r="R291" t="s">
        <v>76</v>
      </c>
      <c r="S291">
        <v>0</v>
      </c>
      <c r="T291" t="s">
        <v>77</v>
      </c>
      <c r="V291" t="s">
        <v>143</v>
      </c>
      <c r="W291" t="s">
        <v>76</v>
      </c>
      <c r="X291">
        <v>7.3451653194838665E-2</v>
      </c>
      <c r="Y291" t="s">
        <v>77</v>
      </c>
      <c r="AA291" t="s">
        <v>163</v>
      </c>
      <c r="AB291" t="s">
        <v>76</v>
      </c>
      <c r="AC291">
        <v>5.9031605501693257E-2</v>
      </c>
      <c r="AD291" t="s">
        <v>77</v>
      </c>
    </row>
    <row r="292" spans="17:30" x14ac:dyDescent="0.25">
      <c r="Q292" t="s">
        <v>123</v>
      </c>
      <c r="R292" t="s">
        <v>78</v>
      </c>
      <c r="S292">
        <v>0</v>
      </c>
      <c r="T292" t="s">
        <v>77</v>
      </c>
      <c r="V292" t="s">
        <v>143</v>
      </c>
      <c r="W292" t="s">
        <v>78</v>
      </c>
      <c r="X292">
        <v>2.9373381385317976E-2</v>
      </c>
      <c r="Y292" t="s">
        <v>77</v>
      </c>
      <c r="AA292" t="s">
        <v>163</v>
      </c>
      <c r="AB292" t="s">
        <v>78</v>
      </c>
      <c r="AC292">
        <v>2.346493996985614E-2</v>
      </c>
      <c r="AD292" t="s">
        <v>77</v>
      </c>
    </row>
    <row r="293" spans="17:30" x14ac:dyDescent="0.25">
      <c r="Q293" t="s">
        <v>123</v>
      </c>
      <c r="R293" t="s">
        <v>79</v>
      </c>
      <c r="S293">
        <v>7.8925422233523689E-4</v>
      </c>
      <c r="T293" t="s">
        <v>77</v>
      </c>
      <c r="V293" t="s">
        <v>143</v>
      </c>
      <c r="W293" t="s">
        <v>79</v>
      </c>
      <c r="X293">
        <v>2.880424320655986E-2</v>
      </c>
      <c r="Y293" t="s">
        <v>77</v>
      </c>
      <c r="AA293" t="s">
        <v>163</v>
      </c>
      <c r="AB293" t="s">
        <v>79</v>
      </c>
      <c r="AC293">
        <v>2.3911203543439657E-2</v>
      </c>
      <c r="AD293" t="s">
        <v>77</v>
      </c>
    </row>
    <row r="294" spans="17:30" x14ac:dyDescent="0.25">
      <c r="Q294" t="s">
        <v>123</v>
      </c>
      <c r="R294" t="s">
        <v>80</v>
      </c>
      <c r="S294">
        <v>1.292609047926678E-2</v>
      </c>
      <c r="T294" t="s">
        <v>77</v>
      </c>
      <c r="V294" t="s">
        <v>143</v>
      </c>
      <c r="W294" t="s">
        <v>80</v>
      </c>
      <c r="X294">
        <v>2.7723791529562697E-2</v>
      </c>
      <c r="Y294" t="s">
        <v>77</v>
      </c>
      <c r="AA294" t="s">
        <v>163</v>
      </c>
      <c r="AB294" t="s">
        <v>80</v>
      </c>
      <c r="AC294">
        <v>2.3671629983091524E-2</v>
      </c>
      <c r="AD294" t="s">
        <v>77</v>
      </c>
    </row>
    <row r="295" spans="17:30" x14ac:dyDescent="0.25">
      <c r="Q295" t="s">
        <v>123</v>
      </c>
      <c r="R295" t="s">
        <v>81</v>
      </c>
      <c r="S295">
        <v>2.2676296456155706E-2</v>
      </c>
      <c r="T295" t="s">
        <v>77</v>
      </c>
      <c r="V295" t="s">
        <v>143</v>
      </c>
      <c r="W295" t="s">
        <v>81</v>
      </c>
      <c r="X295">
        <v>2.551355658753747E-2</v>
      </c>
      <c r="Y295" t="s">
        <v>77</v>
      </c>
      <c r="AA295" t="s">
        <v>163</v>
      </c>
      <c r="AB295" t="s">
        <v>81</v>
      </c>
      <c r="AC295">
        <v>2.4800114946678806E-2</v>
      </c>
      <c r="AD295" t="s">
        <v>77</v>
      </c>
    </row>
    <row r="296" spans="17:30" x14ac:dyDescent="0.25">
      <c r="Q296" t="s">
        <v>123</v>
      </c>
      <c r="R296" t="s">
        <v>82</v>
      </c>
      <c r="S296">
        <v>2.0908167187315533E-2</v>
      </c>
      <c r="T296" t="s">
        <v>77</v>
      </c>
      <c r="V296" t="s">
        <v>143</v>
      </c>
      <c r="W296" t="s">
        <v>82</v>
      </c>
      <c r="X296">
        <v>2.5175457938617474E-2</v>
      </c>
      <c r="Y296" t="s">
        <v>77</v>
      </c>
      <c r="AA296" t="s">
        <v>163</v>
      </c>
      <c r="AB296" t="s">
        <v>82</v>
      </c>
      <c r="AC296">
        <v>2.5362397120542748E-2</v>
      </c>
      <c r="AD296" t="s">
        <v>77</v>
      </c>
    </row>
    <row r="297" spans="17:30" x14ac:dyDescent="0.25">
      <c r="Q297" t="s">
        <v>123</v>
      </c>
      <c r="R297" t="s">
        <v>83</v>
      </c>
      <c r="S297">
        <v>9.6680962915917795E-3</v>
      </c>
      <c r="T297" t="s">
        <v>77</v>
      </c>
      <c r="V297" t="s">
        <v>143</v>
      </c>
      <c r="W297" t="s">
        <v>83</v>
      </c>
      <c r="X297">
        <v>2.6600824432549096E-2</v>
      </c>
      <c r="Y297" t="s">
        <v>77</v>
      </c>
      <c r="AA297" t="s">
        <v>163</v>
      </c>
      <c r="AB297" t="s">
        <v>83</v>
      </c>
      <c r="AC297">
        <v>2.5715555872420991E-2</v>
      </c>
      <c r="AD297" t="s">
        <v>77</v>
      </c>
    </row>
    <row r="298" spans="17:30" x14ac:dyDescent="0.25">
      <c r="Q298" t="s">
        <v>123</v>
      </c>
      <c r="R298" t="s">
        <v>84</v>
      </c>
      <c r="S298">
        <v>7.711589448614356E-4</v>
      </c>
      <c r="T298" t="s">
        <v>77</v>
      </c>
      <c r="V298" t="s">
        <v>143</v>
      </c>
      <c r="W298" t="s">
        <v>84</v>
      </c>
      <c r="X298">
        <v>2.9230583119036448E-2</v>
      </c>
      <c r="Y298" t="s">
        <v>77</v>
      </c>
      <c r="AA298" t="s">
        <v>163</v>
      </c>
      <c r="AB298" t="s">
        <v>84</v>
      </c>
      <c r="AC298">
        <v>2.638542499431637E-2</v>
      </c>
      <c r="AD298" t="s">
        <v>77</v>
      </c>
    </row>
    <row r="299" spans="17:30" x14ac:dyDescent="0.25">
      <c r="Q299" t="s">
        <v>123</v>
      </c>
      <c r="R299" t="s">
        <v>85</v>
      </c>
      <c r="S299">
        <v>0</v>
      </c>
      <c r="T299" t="s">
        <v>77</v>
      </c>
      <c r="V299" t="s">
        <v>143</v>
      </c>
      <c r="W299" t="s">
        <v>85</v>
      </c>
      <c r="X299">
        <v>3.0237829978001635E-2</v>
      </c>
      <c r="Y299" t="s">
        <v>77</v>
      </c>
      <c r="AA299" t="s">
        <v>163</v>
      </c>
      <c r="AB299" t="s">
        <v>85</v>
      </c>
      <c r="AC299">
        <v>2.6147124511688758E-2</v>
      </c>
      <c r="AD299" t="s">
        <v>77</v>
      </c>
    </row>
    <row r="300" spans="17:30" x14ac:dyDescent="0.25">
      <c r="Q300" t="s">
        <v>123</v>
      </c>
      <c r="R300" t="s">
        <v>86</v>
      </c>
      <c r="S300">
        <v>0</v>
      </c>
      <c r="T300" t="s">
        <v>77</v>
      </c>
      <c r="V300" t="s">
        <v>143</v>
      </c>
      <c r="W300" t="s">
        <v>86</v>
      </c>
      <c r="X300">
        <v>4.4974688484703824E-2</v>
      </c>
      <c r="Y300" t="s">
        <v>77</v>
      </c>
      <c r="AA300" t="s">
        <v>163</v>
      </c>
      <c r="AB300" t="s">
        <v>86</v>
      </c>
      <c r="AC300">
        <v>3.7288276784317932E-2</v>
      </c>
      <c r="AD300" t="s">
        <v>77</v>
      </c>
    </row>
    <row r="301" spans="17:30" x14ac:dyDescent="0.25">
      <c r="Q301" t="s">
        <v>123</v>
      </c>
      <c r="R301" t="s">
        <v>87</v>
      </c>
      <c r="S301">
        <v>0</v>
      </c>
      <c r="T301" t="s">
        <v>77</v>
      </c>
      <c r="V301" t="s">
        <v>143</v>
      </c>
      <c r="W301" t="s">
        <v>87</v>
      </c>
      <c r="X301">
        <v>5.5563529246184754E-2</v>
      </c>
      <c r="Y301" t="s">
        <v>77</v>
      </c>
      <c r="AA301" t="s">
        <v>163</v>
      </c>
      <c r="AB301" t="s">
        <v>87</v>
      </c>
      <c r="AC301">
        <v>5.5226417556741042E-2</v>
      </c>
      <c r="AD301" t="s">
        <v>77</v>
      </c>
    </row>
    <row r="302" spans="17:30" x14ac:dyDescent="0.25">
      <c r="Q302" t="s">
        <v>123</v>
      </c>
      <c r="R302" t="s">
        <v>88</v>
      </c>
      <c r="S302">
        <v>1.079289868867683E-2</v>
      </c>
      <c r="T302" t="s">
        <v>77</v>
      </c>
      <c r="V302" t="s">
        <v>143</v>
      </c>
      <c r="W302" t="s">
        <v>88</v>
      </c>
      <c r="X302">
        <v>2.0905778841225471E-2</v>
      </c>
      <c r="Y302" t="s">
        <v>77</v>
      </c>
      <c r="AA302" t="s">
        <v>163</v>
      </c>
      <c r="AB302" t="s">
        <v>88</v>
      </c>
      <c r="AC302">
        <v>2.0610742024888221E-2</v>
      </c>
      <c r="AD302" t="s">
        <v>77</v>
      </c>
    </row>
    <row r="303" spans="17:30" x14ac:dyDescent="0.25">
      <c r="Q303" t="s">
        <v>123</v>
      </c>
      <c r="R303" t="s">
        <v>89</v>
      </c>
      <c r="S303">
        <v>4.4886224539989313E-2</v>
      </c>
      <c r="T303" t="s">
        <v>77</v>
      </c>
      <c r="V303" t="s">
        <v>143</v>
      </c>
      <c r="W303" t="s">
        <v>89</v>
      </c>
      <c r="X303">
        <v>1.8188809453795605E-2</v>
      </c>
      <c r="Y303" t="s">
        <v>77</v>
      </c>
      <c r="AA303" t="s">
        <v>163</v>
      </c>
      <c r="AB303" t="s">
        <v>89</v>
      </c>
      <c r="AC303">
        <v>2.0465857446081502E-2</v>
      </c>
      <c r="AD303" t="s">
        <v>77</v>
      </c>
    </row>
    <row r="304" spans="17:30" x14ac:dyDescent="0.25">
      <c r="Q304" t="s">
        <v>123</v>
      </c>
      <c r="R304" t="s">
        <v>90</v>
      </c>
      <c r="S304">
        <v>7.3048329534676659E-2</v>
      </c>
      <c r="T304" t="s">
        <v>77</v>
      </c>
      <c r="V304" t="s">
        <v>143</v>
      </c>
      <c r="W304" t="s">
        <v>90</v>
      </c>
      <c r="X304">
        <v>1.8264258476311433E-2</v>
      </c>
      <c r="Y304" t="s">
        <v>77</v>
      </c>
      <c r="AA304" t="s">
        <v>163</v>
      </c>
      <c r="AB304" t="s">
        <v>90</v>
      </c>
      <c r="AC304">
        <v>2.0498357045906419E-2</v>
      </c>
      <c r="AD304" t="s">
        <v>77</v>
      </c>
    </row>
    <row r="305" spans="17:30" x14ac:dyDescent="0.25">
      <c r="Q305" t="s">
        <v>123</v>
      </c>
      <c r="R305" t="s">
        <v>91</v>
      </c>
      <c r="S305">
        <v>7.6154542362769043E-2</v>
      </c>
      <c r="T305" t="s">
        <v>77</v>
      </c>
      <c r="V305" t="s">
        <v>143</v>
      </c>
      <c r="W305" t="s">
        <v>91</v>
      </c>
      <c r="X305">
        <v>1.7322797672856435E-2</v>
      </c>
      <c r="Y305" t="s">
        <v>77</v>
      </c>
      <c r="AA305" t="s">
        <v>163</v>
      </c>
      <c r="AB305" t="s">
        <v>91</v>
      </c>
      <c r="AC305">
        <v>1.9920991363496079E-2</v>
      </c>
      <c r="AD305" t="s">
        <v>77</v>
      </c>
    </row>
    <row r="306" spans="17:30" x14ac:dyDescent="0.25">
      <c r="Q306" t="s">
        <v>123</v>
      </c>
      <c r="R306" t="s">
        <v>92</v>
      </c>
      <c r="S306">
        <v>7.2410591812541447E-2</v>
      </c>
      <c r="T306" t="s">
        <v>77</v>
      </c>
      <c r="V306" t="s">
        <v>143</v>
      </c>
      <c r="W306" t="s">
        <v>92</v>
      </c>
      <c r="X306">
        <v>1.923629791146643E-2</v>
      </c>
      <c r="Y306" t="s">
        <v>77</v>
      </c>
      <c r="AA306" t="s">
        <v>163</v>
      </c>
      <c r="AB306" t="s">
        <v>92</v>
      </c>
      <c r="AC306">
        <v>2.023884645581182E-2</v>
      </c>
      <c r="AD306" t="s">
        <v>77</v>
      </c>
    </row>
    <row r="307" spans="17:30" x14ac:dyDescent="0.25">
      <c r="Q307" t="s">
        <v>123</v>
      </c>
      <c r="R307" t="s">
        <v>93</v>
      </c>
      <c r="S307">
        <v>6.0690131325617125E-2</v>
      </c>
      <c r="T307" t="s">
        <v>77</v>
      </c>
      <c r="V307" t="s">
        <v>143</v>
      </c>
      <c r="W307" t="s">
        <v>93</v>
      </c>
      <c r="X307">
        <v>1.9476708414251198E-2</v>
      </c>
      <c r="Y307" t="s">
        <v>77</v>
      </c>
      <c r="AA307" t="s">
        <v>163</v>
      </c>
      <c r="AB307" t="s">
        <v>93</v>
      </c>
      <c r="AC307">
        <v>2.0899789368608139E-2</v>
      </c>
      <c r="AD307" t="s">
        <v>77</v>
      </c>
    </row>
    <row r="308" spans="17:30" x14ac:dyDescent="0.25">
      <c r="Q308" t="s">
        <v>123</v>
      </c>
      <c r="R308" t="s">
        <v>94</v>
      </c>
      <c r="S308">
        <v>3.2379273478281047E-2</v>
      </c>
      <c r="T308" t="s">
        <v>77</v>
      </c>
      <c r="V308" t="s">
        <v>143</v>
      </c>
      <c r="W308" t="s">
        <v>94</v>
      </c>
      <c r="X308">
        <v>1.9347050415575162E-2</v>
      </c>
      <c r="Y308" t="s">
        <v>77</v>
      </c>
      <c r="AA308" t="s">
        <v>163</v>
      </c>
      <c r="AB308" t="s">
        <v>94</v>
      </c>
      <c r="AC308">
        <v>2.2093685242979472E-2</v>
      </c>
      <c r="AD308" t="s">
        <v>77</v>
      </c>
    </row>
    <row r="309" spans="17:30" x14ac:dyDescent="0.25">
      <c r="Q309" t="s">
        <v>123</v>
      </c>
      <c r="R309" t="s">
        <v>95</v>
      </c>
      <c r="S309">
        <v>4.6626032308442868E-3</v>
      </c>
      <c r="T309" t="s">
        <v>77</v>
      </c>
      <c r="V309" t="s">
        <v>143</v>
      </c>
      <c r="W309" t="s">
        <v>95</v>
      </c>
      <c r="X309">
        <v>2.2244041142670958E-2</v>
      </c>
      <c r="Y309" t="s">
        <v>77</v>
      </c>
      <c r="AA309" t="s">
        <v>163</v>
      </c>
      <c r="AB309" t="s">
        <v>95</v>
      </c>
      <c r="AC309">
        <v>2.2877449608475996E-2</v>
      </c>
      <c r="AD309" t="s">
        <v>77</v>
      </c>
    </row>
    <row r="310" spans="17:30" x14ac:dyDescent="0.25">
      <c r="Q310" t="s">
        <v>123</v>
      </c>
      <c r="R310" t="s">
        <v>96</v>
      </c>
      <c r="S310">
        <v>0</v>
      </c>
      <c r="T310" t="s">
        <v>77</v>
      </c>
      <c r="V310" t="s">
        <v>143</v>
      </c>
      <c r="W310" t="s">
        <v>96</v>
      </c>
      <c r="X310">
        <v>3.4404872876675922E-2</v>
      </c>
      <c r="Y310" t="s">
        <v>77</v>
      </c>
      <c r="AA310" t="s">
        <v>163</v>
      </c>
      <c r="AB310" t="s">
        <v>96</v>
      </c>
      <c r="AC310">
        <v>3.4588669898741604E-2</v>
      </c>
      <c r="AD310" t="s">
        <v>77</v>
      </c>
    </row>
    <row r="311" spans="17:30" x14ac:dyDescent="0.25">
      <c r="Q311" t="s">
        <v>123</v>
      </c>
      <c r="R311" t="s">
        <v>97</v>
      </c>
      <c r="S311">
        <v>3.8473556800697667E-4</v>
      </c>
      <c r="T311" t="s">
        <v>77</v>
      </c>
      <c r="V311" t="s">
        <v>143</v>
      </c>
      <c r="W311" t="s">
        <v>97</v>
      </c>
      <c r="X311">
        <v>3.1577183751460729E-2</v>
      </c>
      <c r="Y311" t="s">
        <v>77</v>
      </c>
      <c r="AA311" t="s">
        <v>163</v>
      </c>
      <c r="AB311" t="s">
        <v>97</v>
      </c>
      <c r="AC311">
        <v>3.8411326893299368E-2</v>
      </c>
      <c r="AD311" t="s">
        <v>77</v>
      </c>
    </row>
    <row r="312" spans="17:30" x14ac:dyDescent="0.25">
      <c r="Q312" t="s">
        <v>123</v>
      </c>
      <c r="R312" t="s">
        <v>98</v>
      </c>
      <c r="S312">
        <v>2.1517250815574533E-2</v>
      </c>
      <c r="T312" t="s">
        <v>77</v>
      </c>
      <c r="V312" t="s">
        <v>143</v>
      </c>
      <c r="W312" t="s">
        <v>98</v>
      </c>
      <c r="X312">
        <v>1.1488989243069476E-2</v>
      </c>
      <c r="Y312" t="s">
        <v>77</v>
      </c>
      <c r="AA312" t="s">
        <v>163</v>
      </c>
      <c r="AB312" t="s">
        <v>98</v>
      </c>
      <c r="AC312">
        <v>1.4967249543988839E-2</v>
      </c>
      <c r="AD312" t="s">
        <v>77</v>
      </c>
    </row>
    <row r="313" spans="17:30" x14ac:dyDescent="0.25">
      <c r="Q313" t="s">
        <v>123</v>
      </c>
      <c r="R313" t="s">
        <v>99</v>
      </c>
      <c r="S313">
        <v>5.2789632728045245E-2</v>
      </c>
      <c r="T313" t="s">
        <v>77</v>
      </c>
      <c r="V313" t="s">
        <v>143</v>
      </c>
      <c r="W313" t="s">
        <v>99</v>
      </c>
      <c r="X313">
        <v>1.021188821995821E-2</v>
      </c>
      <c r="Y313" t="s">
        <v>77</v>
      </c>
      <c r="AA313" t="s">
        <v>163</v>
      </c>
      <c r="AB313" t="s">
        <v>99</v>
      </c>
      <c r="AC313">
        <v>1.5222607609765904E-2</v>
      </c>
      <c r="AD313" t="s">
        <v>77</v>
      </c>
    </row>
    <row r="314" spans="17:30" x14ac:dyDescent="0.25">
      <c r="Q314" t="s">
        <v>123</v>
      </c>
      <c r="R314" t="s">
        <v>100</v>
      </c>
      <c r="S314">
        <v>6.9963209379944186E-2</v>
      </c>
      <c r="T314" t="s">
        <v>77</v>
      </c>
      <c r="V314" t="s">
        <v>143</v>
      </c>
      <c r="W314" t="s">
        <v>100</v>
      </c>
      <c r="X314">
        <v>1.1093412790955421E-2</v>
      </c>
      <c r="Y314" t="s">
        <v>77</v>
      </c>
      <c r="AA314" t="s">
        <v>163</v>
      </c>
      <c r="AB314" t="s">
        <v>100</v>
      </c>
      <c r="AC314">
        <v>1.512080948737817E-2</v>
      </c>
      <c r="AD314" t="s">
        <v>77</v>
      </c>
    </row>
    <row r="315" spans="17:30" x14ac:dyDescent="0.25">
      <c r="Q315" t="s">
        <v>123</v>
      </c>
      <c r="R315" t="s">
        <v>101</v>
      </c>
      <c r="S315">
        <v>7.0888946240161288E-2</v>
      </c>
      <c r="T315" t="s">
        <v>77</v>
      </c>
      <c r="V315" t="s">
        <v>143</v>
      </c>
      <c r="W315" t="s">
        <v>101</v>
      </c>
      <c r="X315">
        <v>1.0425227599571584E-2</v>
      </c>
      <c r="Y315" t="s">
        <v>77</v>
      </c>
      <c r="AA315" t="s">
        <v>163</v>
      </c>
      <c r="AB315" t="s">
        <v>101</v>
      </c>
      <c r="AC315">
        <v>1.3439949153562803E-2</v>
      </c>
      <c r="AD315" t="s">
        <v>77</v>
      </c>
    </row>
    <row r="316" spans="17:30" x14ac:dyDescent="0.25">
      <c r="Q316" t="s">
        <v>123</v>
      </c>
      <c r="R316" t="s">
        <v>102</v>
      </c>
      <c r="S316">
        <v>6.8362106309710735E-2</v>
      </c>
      <c r="T316" t="s">
        <v>77</v>
      </c>
      <c r="V316" t="s">
        <v>143</v>
      </c>
      <c r="W316" t="s">
        <v>102</v>
      </c>
      <c r="X316">
        <v>1.2626088278931762E-2</v>
      </c>
      <c r="Y316" t="s">
        <v>77</v>
      </c>
      <c r="AA316" t="s">
        <v>163</v>
      </c>
      <c r="AB316" t="s">
        <v>102</v>
      </c>
      <c r="AC316">
        <v>1.3685480381989112E-2</v>
      </c>
      <c r="AD316" t="s">
        <v>77</v>
      </c>
    </row>
    <row r="317" spans="17:30" x14ac:dyDescent="0.25">
      <c r="Q317" t="s">
        <v>123</v>
      </c>
      <c r="R317" t="s">
        <v>103</v>
      </c>
      <c r="S317">
        <v>6.1424937833626105E-2</v>
      </c>
      <c r="T317" t="s">
        <v>77</v>
      </c>
      <c r="V317" t="s">
        <v>143</v>
      </c>
      <c r="W317" t="s">
        <v>103</v>
      </c>
      <c r="X317">
        <v>1.4450518449902755E-2</v>
      </c>
      <c r="Y317" t="s">
        <v>77</v>
      </c>
      <c r="AA317" t="s">
        <v>163</v>
      </c>
      <c r="AB317" t="s">
        <v>103</v>
      </c>
      <c r="AC317">
        <v>1.4816159933610074E-2</v>
      </c>
      <c r="AD317" t="s">
        <v>77</v>
      </c>
    </row>
    <row r="318" spans="17:30" x14ac:dyDescent="0.25">
      <c r="Q318" t="s">
        <v>123</v>
      </c>
      <c r="R318" t="s">
        <v>104</v>
      </c>
      <c r="S318">
        <v>4.2076146882246375E-2</v>
      </c>
      <c r="T318" t="s">
        <v>77</v>
      </c>
      <c r="V318" t="s">
        <v>143</v>
      </c>
      <c r="W318" t="s">
        <v>104</v>
      </c>
      <c r="X318">
        <v>1.2864734857849301E-2</v>
      </c>
      <c r="Y318" t="s">
        <v>77</v>
      </c>
      <c r="AA318" t="s">
        <v>163</v>
      </c>
      <c r="AB318" t="s">
        <v>104</v>
      </c>
      <c r="AC318">
        <v>1.6149569997628021E-2</v>
      </c>
      <c r="AD318" t="s">
        <v>77</v>
      </c>
    </row>
    <row r="319" spans="17:30" x14ac:dyDescent="0.25">
      <c r="Q319" t="s">
        <v>123</v>
      </c>
      <c r="R319" t="s">
        <v>105</v>
      </c>
      <c r="S319">
        <v>1.459763005683596E-2</v>
      </c>
      <c r="T319" t="s">
        <v>77</v>
      </c>
      <c r="V319" t="s">
        <v>143</v>
      </c>
      <c r="W319" t="s">
        <v>105</v>
      </c>
      <c r="X319">
        <v>1.2351765425129146E-2</v>
      </c>
      <c r="Y319" t="s">
        <v>77</v>
      </c>
      <c r="AA319" t="s">
        <v>163</v>
      </c>
      <c r="AB319" t="s">
        <v>105</v>
      </c>
      <c r="AC319">
        <v>1.7381218704031476E-2</v>
      </c>
      <c r="AD319" t="s">
        <v>77</v>
      </c>
    </row>
    <row r="320" spans="17:30" x14ac:dyDescent="0.25">
      <c r="Q320" t="s">
        <v>123</v>
      </c>
      <c r="R320" t="s">
        <v>106</v>
      </c>
      <c r="S320">
        <v>0</v>
      </c>
      <c r="T320" t="s">
        <v>77</v>
      </c>
      <c r="V320" t="s">
        <v>143</v>
      </c>
      <c r="W320" t="s">
        <v>106</v>
      </c>
      <c r="X320">
        <v>1.9603717351372722E-2</v>
      </c>
      <c r="Y320" t="s">
        <v>77</v>
      </c>
      <c r="AA320" t="s">
        <v>163</v>
      </c>
      <c r="AB320" t="s">
        <v>106</v>
      </c>
      <c r="AC320">
        <v>2.5629013091440694E-2</v>
      </c>
      <c r="AD320" t="s">
        <v>77</v>
      </c>
    </row>
    <row r="321" spans="17:30" x14ac:dyDescent="0.25">
      <c r="Q321" t="s">
        <v>123</v>
      </c>
      <c r="R321" t="s">
        <v>107</v>
      </c>
      <c r="S321">
        <v>0</v>
      </c>
      <c r="T321" t="s">
        <v>77</v>
      </c>
      <c r="V321" t="s">
        <v>143</v>
      </c>
      <c r="W321" t="s">
        <v>107</v>
      </c>
      <c r="X321">
        <v>5.7998882115390345E-2</v>
      </c>
      <c r="Y321" t="s">
        <v>77</v>
      </c>
      <c r="AA321" t="s">
        <v>163</v>
      </c>
      <c r="AB321" t="s">
        <v>107</v>
      </c>
      <c r="AC321">
        <v>5.3603017608751684E-2</v>
      </c>
      <c r="AD321" t="s">
        <v>77</v>
      </c>
    </row>
    <row r="322" spans="17:30" x14ac:dyDescent="0.25">
      <c r="Q322" t="s">
        <v>123</v>
      </c>
      <c r="R322" t="s">
        <v>108</v>
      </c>
      <c r="S322">
        <v>1.1185722040361651E-3</v>
      </c>
      <c r="T322" t="s">
        <v>77</v>
      </c>
      <c r="V322" t="s">
        <v>143</v>
      </c>
      <c r="W322" t="s">
        <v>108</v>
      </c>
      <c r="X322">
        <v>2.2230944859740209E-2</v>
      </c>
      <c r="Y322" t="s">
        <v>77</v>
      </c>
      <c r="AA322" t="s">
        <v>163</v>
      </c>
      <c r="AB322" t="s">
        <v>108</v>
      </c>
      <c r="AC322">
        <v>2.0849430705620668E-2</v>
      </c>
      <c r="AD322" t="s">
        <v>77</v>
      </c>
    </row>
    <row r="323" spans="17:30" x14ac:dyDescent="0.25">
      <c r="Q323" t="s">
        <v>123</v>
      </c>
      <c r="R323" t="s">
        <v>109</v>
      </c>
      <c r="S323">
        <v>1.6146538948219439E-2</v>
      </c>
      <c r="T323" t="s">
        <v>77</v>
      </c>
      <c r="V323" t="s">
        <v>143</v>
      </c>
      <c r="W323" t="s">
        <v>109</v>
      </c>
      <c r="X323">
        <v>2.1290857716777668E-2</v>
      </c>
      <c r="Y323" t="s">
        <v>77</v>
      </c>
      <c r="AA323" t="s">
        <v>163</v>
      </c>
      <c r="AB323" t="s">
        <v>109</v>
      </c>
      <c r="AC323">
        <v>2.165182793237571E-2</v>
      </c>
      <c r="AD323" t="s">
        <v>77</v>
      </c>
    </row>
    <row r="324" spans="17:30" x14ac:dyDescent="0.25">
      <c r="Q324" t="s">
        <v>123</v>
      </c>
      <c r="R324" t="s">
        <v>110</v>
      </c>
      <c r="S324">
        <v>3.424522582615433E-2</v>
      </c>
      <c r="T324" t="s">
        <v>77</v>
      </c>
      <c r="V324" t="s">
        <v>143</v>
      </c>
      <c r="W324" t="s">
        <v>110</v>
      </c>
      <c r="X324">
        <v>2.0740292199176287E-2</v>
      </c>
      <c r="Y324" t="s">
        <v>77</v>
      </c>
      <c r="AA324" t="s">
        <v>163</v>
      </c>
      <c r="AB324" t="s">
        <v>110</v>
      </c>
      <c r="AC324">
        <v>2.1967964031035733E-2</v>
      </c>
      <c r="AD324" t="s">
        <v>77</v>
      </c>
    </row>
    <row r="325" spans="17:30" x14ac:dyDescent="0.25">
      <c r="Q325" t="s">
        <v>123</v>
      </c>
      <c r="R325" t="s">
        <v>111</v>
      </c>
      <c r="S325">
        <v>3.6422019652013603E-2</v>
      </c>
      <c r="T325" t="s">
        <v>77</v>
      </c>
      <c r="V325" t="s">
        <v>143</v>
      </c>
      <c r="W325" t="s">
        <v>111</v>
      </c>
      <c r="X325">
        <v>2.0110171528704958E-2</v>
      </c>
      <c r="Y325" t="s">
        <v>77</v>
      </c>
      <c r="AA325" t="s">
        <v>163</v>
      </c>
      <c r="AB325" t="s">
        <v>111</v>
      </c>
      <c r="AC325">
        <v>2.1345804446633324E-2</v>
      </c>
      <c r="AD325" t="s">
        <v>77</v>
      </c>
    </row>
    <row r="326" spans="17:30" x14ac:dyDescent="0.25">
      <c r="Q326" t="s">
        <v>123</v>
      </c>
      <c r="R326" t="s">
        <v>112</v>
      </c>
      <c r="S326">
        <v>3.5597172549850835E-2</v>
      </c>
      <c r="T326" t="s">
        <v>77</v>
      </c>
      <c r="V326" t="s">
        <v>143</v>
      </c>
      <c r="W326" t="s">
        <v>112</v>
      </c>
      <c r="X326">
        <v>2.0587768664636137E-2</v>
      </c>
      <c r="Y326" t="s">
        <v>77</v>
      </c>
      <c r="AA326" t="s">
        <v>163</v>
      </c>
      <c r="AB326" t="s">
        <v>112</v>
      </c>
      <c r="AC326">
        <v>2.0735803413539387E-2</v>
      </c>
      <c r="AD326" t="s">
        <v>77</v>
      </c>
    </row>
    <row r="327" spans="17:30" x14ac:dyDescent="0.25">
      <c r="Q327" t="s">
        <v>123</v>
      </c>
      <c r="R327" t="s">
        <v>113</v>
      </c>
      <c r="S327">
        <v>2.4265692790375076E-2</v>
      </c>
      <c r="T327" t="s">
        <v>77</v>
      </c>
      <c r="V327" t="s">
        <v>143</v>
      </c>
      <c r="W327" t="s">
        <v>113</v>
      </c>
      <c r="X327">
        <v>2.1146084770027874E-2</v>
      </c>
      <c r="Y327" t="s">
        <v>77</v>
      </c>
      <c r="AA327" t="s">
        <v>163</v>
      </c>
      <c r="AB327" t="s">
        <v>113</v>
      </c>
      <c r="AC327">
        <v>2.0899067706153424E-2</v>
      </c>
      <c r="AD327" t="s">
        <v>77</v>
      </c>
    </row>
    <row r="328" spans="17:30" x14ac:dyDescent="0.25">
      <c r="Q328" t="s">
        <v>123</v>
      </c>
      <c r="R328" t="s">
        <v>114</v>
      </c>
      <c r="S328">
        <v>7.4365236602778849E-3</v>
      </c>
      <c r="T328" t="s">
        <v>77</v>
      </c>
      <c r="V328" t="s">
        <v>143</v>
      </c>
      <c r="W328" t="s">
        <v>114</v>
      </c>
      <c r="X328">
        <v>2.2893132162487048E-2</v>
      </c>
      <c r="Y328" t="s">
        <v>77</v>
      </c>
      <c r="AA328" t="s">
        <v>163</v>
      </c>
      <c r="AB328" t="s">
        <v>114</v>
      </c>
      <c r="AC328">
        <v>2.2436996408549174E-2</v>
      </c>
      <c r="AD328" t="s">
        <v>77</v>
      </c>
    </row>
    <row r="329" spans="17:30" x14ac:dyDescent="0.25">
      <c r="Q329" t="s">
        <v>123</v>
      </c>
      <c r="R329" t="s">
        <v>115</v>
      </c>
      <c r="S329">
        <v>0</v>
      </c>
      <c r="T329" t="s">
        <v>77</v>
      </c>
      <c r="V329" t="s">
        <v>143</v>
      </c>
      <c r="W329" t="s">
        <v>115</v>
      </c>
      <c r="X329">
        <v>2.3956627242801749E-2</v>
      </c>
      <c r="Y329" t="s">
        <v>77</v>
      </c>
      <c r="AA329" t="s">
        <v>163</v>
      </c>
      <c r="AB329" t="s">
        <v>115</v>
      </c>
      <c r="AC329">
        <v>2.3645209620378776E-2</v>
      </c>
      <c r="AD329" t="s">
        <v>77</v>
      </c>
    </row>
    <row r="330" spans="17:30" x14ac:dyDescent="0.25">
      <c r="Q330" t="s">
        <v>123</v>
      </c>
      <c r="R330" t="s">
        <v>116</v>
      </c>
      <c r="S330">
        <v>0</v>
      </c>
      <c r="T330" t="s">
        <v>77</v>
      </c>
      <c r="V330" t="s">
        <v>143</v>
      </c>
      <c r="W330" t="s">
        <v>116</v>
      </c>
      <c r="X330">
        <v>3.6311558464317086E-2</v>
      </c>
      <c r="Y330" t="s">
        <v>77</v>
      </c>
      <c r="AA330" t="s">
        <v>163</v>
      </c>
      <c r="AB330" t="s">
        <v>116</v>
      </c>
      <c r="AC330">
        <v>3.4842414090491144E-2</v>
      </c>
      <c r="AD330" t="s">
        <v>77</v>
      </c>
    </row>
    <row r="331" spans="17:30" x14ac:dyDescent="0.25">
      <c r="Q331" t="s">
        <v>124</v>
      </c>
      <c r="R331" t="s">
        <v>76</v>
      </c>
      <c r="S331">
        <v>0</v>
      </c>
      <c r="T331" t="s">
        <v>77</v>
      </c>
      <c r="V331" t="s">
        <v>144</v>
      </c>
      <c r="W331" t="s">
        <v>76</v>
      </c>
      <c r="X331">
        <v>7.1235397562924491E-2</v>
      </c>
      <c r="Y331" t="s">
        <v>77</v>
      </c>
      <c r="AA331" t="s">
        <v>164</v>
      </c>
      <c r="AB331" t="s">
        <v>76</v>
      </c>
      <c r="AC331">
        <v>5.8656698682903088E-2</v>
      </c>
      <c r="AD331" t="s">
        <v>77</v>
      </c>
    </row>
    <row r="332" spans="17:30" x14ac:dyDescent="0.25">
      <c r="Q332" t="s">
        <v>124</v>
      </c>
      <c r="R332" t="s">
        <v>78</v>
      </c>
      <c r="S332">
        <v>0</v>
      </c>
      <c r="T332" t="s">
        <v>77</v>
      </c>
      <c r="V332" t="s">
        <v>144</v>
      </c>
      <c r="W332" t="s">
        <v>78</v>
      </c>
      <c r="X332">
        <v>2.798679000754957E-2</v>
      </c>
      <c r="Y332" t="s">
        <v>77</v>
      </c>
      <c r="AA332" t="s">
        <v>164</v>
      </c>
      <c r="AB332" t="s">
        <v>78</v>
      </c>
      <c r="AC332">
        <v>2.4171387440433369E-2</v>
      </c>
      <c r="AD332" t="s">
        <v>77</v>
      </c>
    </row>
    <row r="333" spans="17:30" x14ac:dyDescent="0.25">
      <c r="Q333" t="s">
        <v>124</v>
      </c>
      <c r="R333" t="s">
        <v>79</v>
      </c>
      <c r="S333">
        <v>1.6093669346959655E-3</v>
      </c>
      <c r="T333" t="s">
        <v>77</v>
      </c>
      <c r="V333" t="s">
        <v>144</v>
      </c>
      <c r="W333" t="s">
        <v>79</v>
      </c>
      <c r="X333">
        <v>2.8416765396465656E-2</v>
      </c>
      <c r="Y333" t="s">
        <v>77</v>
      </c>
      <c r="AA333" t="s">
        <v>164</v>
      </c>
      <c r="AB333" t="s">
        <v>79</v>
      </c>
      <c r="AC333">
        <v>2.430580035148644E-2</v>
      </c>
      <c r="AD333" t="s">
        <v>77</v>
      </c>
    </row>
    <row r="334" spans="17:30" x14ac:dyDescent="0.25">
      <c r="Q334" t="s">
        <v>124</v>
      </c>
      <c r="R334" t="s">
        <v>80</v>
      </c>
      <c r="S334">
        <v>1.6840600920545273E-2</v>
      </c>
      <c r="T334" t="s">
        <v>77</v>
      </c>
      <c r="V334" t="s">
        <v>144</v>
      </c>
      <c r="W334" t="s">
        <v>80</v>
      </c>
      <c r="X334">
        <v>2.8206268567462729E-2</v>
      </c>
      <c r="Y334" t="s">
        <v>77</v>
      </c>
      <c r="AA334" t="s">
        <v>164</v>
      </c>
      <c r="AB334" t="s">
        <v>80</v>
      </c>
      <c r="AC334">
        <v>2.3879693217866566E-2</v>
      </c>
      <c r="AD334" t="s">
        <v>77</v>
      </c>
    </row>
    <row r="335" spans="17:30" x14ac:dyDescent="0.25">
      <c r="Q335" t="s">
        <v>124</v>
      </c>
      <c r="R335" t="s">
        <v>81</v>
      </c>
      <c r="S335">
        <v>2.4728767875628579E-2</v>
      </c>
      <c r="T335" t="s">
        <v>77</v>
      </c>
      <c r="V335" t="s">
        <v>144</v>
      </c>
      <c r="W335" t="s">
        <v>81</v>
      </c>
      <c r="X335">
        <v>2.5969916677048156E-2</v>
      </c>
      <c r="Y335" t="s">
        <v>77</v>
      </c>
      <c r="AA335" t="s">
        <v>164</v>
      </c>
      <c r="AB335" t="s">
        <v>81</v>
      </c>
      <c r="AC335">
        <v>2.4669841430404685E-2</v>
      </c>
      <c r="AD335" t="s">
        <v>77</v>
      </c>
    </row>
    <row r="336" spans="17:30" x14ac:dyDescent="0.25">
      <c r="Q336" t="s">
        <v>124</v>
      </c>
      <c r="R336" t="s">
        <v>82</v>
      </c>
      <c r="S336">
        <v>2.4928638135992959E-2</v>
      </c>
      <c r="T336" t="s">
        <v>77</v>
      </c>
      <c r="V336" t="s">
        <v>144</v>
      </c>
      <c r="W336" t="s">
        <v>82</v>
      </c>
      <c r="X336">
        <v>2.5989493773323335E-2</v>
      </c>
      <c r="Y336" t="s">
        <v>77</v>
      </c>
      <c r="AA336" t="s">
        <v>164</v>
      </c>
      <c r="AB336" t="s">
        <v>82</v>
      </c>
      <c r="AC336">
        <v>2.47342455022206E-2</v>
      </c>
      <c r="AD336" t="s">
        <v>77</v>
      </c>
    </row>
    <row r="337" spans="17:30" x14ac:dyDescent="0.25">
      <c r="Q337" t="s">
        <v>124</v>
      </c>
      <c r="R337" t="s">
        <v>83</v>
      </c>
      <c r="S337">
        <v>1.0294082498933634E-2</v>
      </c>
      <c r="T337" t="s">
        <v>77</v>
      </c>
      <c r="V337" t="s">
        <v>144</v>
      </c>
      <c r="W337" t="s">
        <v>83</v>
      </c>
      <c r="X337">
        <v>2.7074452913187119E-2</v>
      </c>
      <c r="Y337" t="s">
        <v>77</v>
      </c>
      <c r="AA337" t="s">
        <v>164</v>
      </c>
      <c r="AB337" t="s">
        <v>83</v>
      </c>
      <c r="AC337">
        <v>2.553808006042535E-2</v>
      </c>
      <c r="AD337" t="s">
        <v>77</v>
      </c>
    </row>
    <row r="338" spans="17:30" x14ac:dyDescent="0.25">
      <c r="Q338" t="s">
        <v>124</v>
      </c>
      <c r="R338" t="s">
        <v>84</v>
      </c>
      <c r="S338">
        <v>6.6823857694563637E-4</v>
      </c>
      <c r="T338" t="s">
        <v>77</v>
      </c>
      <c r="V338" t="s">
        <v>144</v>
      </c>
      <c r="W338" t="s">
        <v>84</v>
      </c>
      <c r="X338">
        <v>2.8817673434862634E-2</v>
      </c>
      <c r="Y338" t="s">
        <v>77</v>
      </c>
      <c r="AA338" t="s">
        <v>164</v>
      </c>
      <c r="AB338" t="s">
        <v>84</v>
      </c>
      <c r="AC338">
        <v>2.5872567994200492E-2</v>
      </c>
      <c r="AD338" t="s">
        <v>77</v>
      </c>
    </row>
    <row r="339" spans="17:30" x14ac:dyDescent="0.25">
      <c r="Q339" t="s">
        <v>124</v>
      </c>
      <c r="R339" t="s">
        <v>85</v>
      </c>
      <c r="S339">
        <v>0</v>
      </c>
      <c r="T339" t="s">
        <v>77</v>
      </c>
      <c r="V339" t="s">
        <v>144</v>
      </c>
      <c r="W339" t="s">
        <v>85</v>
      </c>
      <c r="X339">
        <v>2.9316001470943411E-2</v>
      </c>
      <c r="Y339" t="s">
        <v>77</v>
      </c>
      <c r="AA339" t="s">
        <v>164</v>
      </c>
      <c r="AB339" t="s">
        <v>85</v>
      </c>
      <c r="AC339">
        <v>2.5625694081044377E-2</v>
      </c>
      <c r="AD339" t="s">
        <v>77</v>
      </c>
    </row>
    <row r="340" spans="17:30" x14ac:dyDescent="0.25">
      <c r="Q340" t="s">
        <v>124</v>
      </c>
      <c r="R340" t="s">
        <v>86</v>
      </c>
      <c r="S340">
        <v>0</v>
      </c>
      <c r="T340" t="s">
        <v>77</v>
      </c>
      <c r="V340" t="s">
        <v>144</v>
      </c>
      <c r="W340" t="s">
        <v>86</v>
      </c>
      <c r="X340">
        <v>4.383617763080376E-2</v>
      </c>
      <c r="Y340" t="s">
        <v>77</v>
      </c>
      <c r="AA340" t="s">
        <v>164</v>
      </c>
      <c r="AB340" t="s">
        <v>86</v>
      </c>
      <c r="AC340">
        <v>3.662540049544305E-2</v>
      </c>
      <c r="AD340" t="s">
        <v>77</v>
      </c>
    </row>
    <row r="341" spans="17:30" x14ac:dyDescent="0.25">
      <c r="Q341" t="s">
        <v>124</v>
      </c>
      <c r="R341" t="s">
        <v>87</v>
      </c>
      <c r="S341">
        <v>1.1824381343060884E-4</v>
      </c>
      <c r="T341" t="s">
        <v>77</v>
      </c>
      <c r="V341" t="s">
        <v>144</v>
      </c>
      <c r="W341" t="s">
        <v>87</v>
      </c>
      <c r="X341">
        <v>5.5571725250117547E-2</v>
      </c>
      <c r="Y341" t="s">
        <v>77</v>
      </c>
      <c r="AA341" t="s">
        <v>164</v>
      </c>
      <c r="AB341" t="s">
        <v>87</v>
      </c>
      <c r="AC341">
        <v>5.7522238580723112E-2</v>
      </c>
      <c r="AD341" t="s">
        <v>77</v>
      </c>
    </row>
    <row r="342" spans="17:30" x14ac:dyDescent="0.25">
      <c r="Q342" t="s">
        <v>124</v>
      </c>
      <c r="R342" t="s">
        <v>88</v>
      </c>
      <c r="S342">
        <v>1.6008481729749058E-2</v>
      </c>
      <c r="T342" t="s">
        <v>77</v>
      </c>
      <c r="V342" t="s">
        <v>144</v>
      </c>
      <c r="W342" t="s">
        <v>88</v>
      </c>
      <c r="X342">
        <v>2.1727760126475607E-2</v>
      </c>
      <c r="Y342" t="s">
        <v>77</v>
      </c>
      <c r="AA342" t="s">
        <v>164</v>
      </c>
      <c r="AB342" t="s">
        <v>88</v>
      </c>
      <c r="AC342">
        <v>2.1809174310359523E-2</v>
      </c>
      <c r="AD342" t="s">
        <v>77</v>
      </c>
    </row>
    <row r="343" spans="17:30" x14ac:dyDescent="0.25">
      <c r="Q343" t="s">
        <v>124</v>
      </c>
      <c r="R343" t="s">
        <v>89</v>
      </c>
      <c r="S343">
        <v>4.9736115956566809E-2</v>
      </c>
      <c r="T343" t="s">
        <v>77</v>
      </c>
      <c r="V343" t="s">
        <v>144</v>
      </c>
      <c r="W343" t="s">
        <v>89</v>
      </c>
      <c r="X343">
        <v>1.8358572094364707E-2</v>
      </c>
      <c r="Y343" t="s">
        <v>77</v>
      </c>
      <c r="AA343" t="s">
        <v>164</v>
      </c>
      <c r="AB343" t="s">
        <v>89</v>
      </c>
      <c r="AC343">
        <v>2.1392338330491565E-2</v>
      </c>
      <c r="AD343" t="s">
        <v>77</v>
      </c>
    </row>
    <row r="344" spans="17:30" x14ac:dyDescent="0.25">
      <c r="Q344" t="s">
        <v>124</v>
      </c>
      <c r="R344" t="s">
        <v>90</v>
      </c>
      <c r="S344">
        <v>6.8740308620517082E-2</v>
      </c>
      <c r="T344" t="s">
        <v>77</v>
      </c>
      <c r="V344" t="s">
        <v>144</v>
      </c>
      <c r="W344" t="s">
        <v>90</v>
      </c>
      <c r="X344">
        <v>1.7559513414817089E-2</v>
      </c>
      <c r="Y344" t="s">
        <v>77</v>
      </c>
      <c r="AA344" t="s">
        <v>164</v>
      </c>
      <c r="AB344" t="s">
        <v>90</v>
      </c>
      <c r="AC344">
        <v>2.1326410395477849E-2</v>
      </c>
      <c r="AD344" t="s">
        <v>77</v>
      </c>
    </row>
    <row r="345" spans="17:30" x14ac:dyDescent="0.25">
      <c r="Q345" t="s">
        <v>124</v>
      </c>
      <c r="R345" t="s">
        <v>91</v>
      </c>
      <c r="S345">
        <v>6.9261486443997919E-2</v>
      </c>
      <c r="T345" t="s">
        <v>77</v>
      </c>
      <c r="V345" t="s">
        <v>144</v>
      </c>
      <c r="W345" t="s">
        <v>91</v>
      </c>
      <c r="X345">
        <v>1.6955104369326422E-2</v>
      </c>
      <c r="Y345" t="s">
        <v>77</v>
      </c>
      <c r="AA345" t="s">
        <v>164</v>
      </c>
      <c r="AB345" t="s">
        <v>91</v>
      </c>
      <c r="AC345">
        <v>2.0585111975701221E-2</v>
      </c>
      <c r="AD345" t="s">
        <v>77</v>
      </c>
    </row>
    <row r="346" spans="17:30" x14ac:dyDescent="0.25">
      <c r="Q346" t="s">
        <v>124</v>
      </c>
      <c r="R346" t="s">
        <v>92</v>
      </c>
      <c r="S346">
        <v>6.6573873467286507E-2</v>
      </c>
      <c r="T346" t="s">
        <v>77</v>
      </c>
      <c r="V346" t="s">
        <v>144</v>
      </c>
      <c r="W346" t="s">
        <v>92</v>
      </c>
      <c r="X346">
        <v>1.8656769602933759E-2</v>
      </c>
      <c r="Y346" t="s">
        <v>77</v>
      </c>
      <c r="AA346" t="s">
        <v>164</v>
      </c>
      <c r="AB346" t="s">
        <v>92</v>
      </c>
      <c r="AC346">
        <v>2.088930658471843E-2</v>
      </c>
      <c r="AD346" t="s">
        <v>77</v>
      </c>
    </row>
    <row r="347" spans="17:30" x14ac:dyDescent="0.25">
      <c r="Q347" t="s">
        <v>124</v>
      </c>
      <c r="R347" t="s">
        <v>93</v>
      </c>
      <c r="S347">
        <v>5.25093141888196E-2</v>
      </c>
      <c r="T347" t="s">
        <v>77</v>
      </c>
      <c r="V347" t="s">
        <v>144</v>
      </c>
      <c r="W347" t="s">
        <v>93</v>
      </c>
      <c r="X347">
        <v>1.8621828237070853E-2</v>
      </c>
      <c r="Y347" t="s">
        <v>77</v>
      </c>
      <c r="AA347" t="s">
        <v>164</v>
      </c>
      <c r="AB347" t="s">
        <v>93</v>
      </c>
      <c r="AC347">
        <v>2.1757386859638298E-2</v>
      </c>
      <c r="AD347" t="s">
        <v>77</v>
      </c>
    </row>
    <row r="348" spans="17:30" x14ac:dyDescent="0.25">
      <c r="Q348" t="s">
        <v>124</v>
      </c>
      <c r="R348" t="s">
        <v>94</v>
      </c>
      <c r="S348">
        <v>2.6217700182756404E-2</v>
      </c>
      <c r="T348" t="s">
        <v>77</v>
      </c>
      <c r="V348" t="s">
        <v>144</v>
      </c>
      <c r="W348" t="s">
        <v>94</v>
      </c>
      <c r="X348">
        <v>1.9434115129861197E-2</v>
      </c>
      <c r="Y348" t="s">
        <v>77</v>
      </c>
      <c r="AA348" t="s">
        <v>164</v>
      </c>
      <c r="AB348" t="s">
        <v>94</v>
      </c>
      <c r="AC348">
        <v>2.2373445209102814E-2</v>
      </c>
      <c r="AD348" t="s">
        <v>77</v>
      </c>
    </row>
    <row r="349" spans="17:30" x14ac:dyDescent="0.25">
      <c r="Q349" t="s">
        <v>124</v>
      </c>
      <c r="R349" t="s">
        <v>95</v>
      </c>
      <c r="S349">
        <v>2.6108989690189098E-3</v>
      </c>
      <c r="T349" t="s">
        <v>77</v>
      </c>
      <c r="V349" t="s">
        <v>144</v>
      </c>
      <c r="W349" t="s">
        <v>95</v>
      </c>
      <c r="X349">
        <v>2.1899959554638675E-2</v>
      </c>
      <c r="Y349" t="s">
        <v>77</v>
      </c>
      <c r="AA349" t="s">
        <v>164</v>
      </c>
      <c r="AB349" t="s">
        <v>95</v>
      </c>
      <c r="AC349">
        <v>2.3243228382137451E-2</v>
      </c>
      <c r="AD349" t="s">
        <v>77</v>
      </c>
    </row>
    <row r="350" spans="17:30" x14ac:dyDescent="0.25">
      <c r="Q350" t="s">
        <v>124</v>
      </c>
      <c r="R350" t="s">
        <v>96</v>
      </c>
      <c r="S350">
        <v>0</v>
      </c>
      <c r="T350" t="s">
        <v>77</v>
      </c>
      <c r="V350" t="s">
        <v>144</v>
      </c>
      <c r="W350" t="s">
        <v>96</v>
      </c>
      <c r="X350">
        <v>3.4820127585294791E-2</v>
      </c>
      <c r="Y350" t="s">
        <v>77</v>
      </c>
      <c r="AA350" t="s">
        <v>164</v>
      </c>
      <c r="AB350" t="s">
        <v>96</v>
      </c>
      <c r="AC350">
        <v>3.5414646128958699E-2</v>
      </c>
      <c r="AD350" t="s">
        <v>77</v>
      </c>
    </row>
    <row r="351" spans="17:30" x14ac:dyDescent="0.25">
      <c r="Q351" t="s">
        <v>124</v>
      </c>
      <c r="R351" t="s">
        <v>97</v>
      </c>
      <c r="S351">
        <v>1.7198913470912027E-3</v>
      </c>
      <c r="T351" t="s">
        <v>77</v>
      </c>
      <c r="V351" t="s">
        <v>144</v>
      </c>
      <c r="W351" t="s">
        <v>97</v>
      </c>
      <c r="X351">
        <v>3.1693728483568308E-2</v>
      </c>
      <c r="Y351" t="s">
        <v>77</v>
      </c>
      <c r="AA351" t="s">
        <v>164</v>
      </c>
      <c r="AB351" t="s">
        <v>97</v>
      </c>
      <c r="AC351">
        <v>3.9509586214349433E-2</v>
      </c>
      <c r="AD351" t="s">
        <v>77</v>
      </c>
    </row>
    <row r="352" spans="17:30" x14ac:dyDescent="0.25">
      <c r="Q352" t="s">
        <v>124</v>
      </c>
      <c r="R352" t="s">
        <v>98</v>
      </c>
      <c r="S352">
        <v>2.8565426835076114E-2</v>
      </c>
      <c r="T352" t="s">
        <v>77</v>
      </c>
      <c r="V352" t="s">
        <v>144</v>
      </c>
      <c r="W352" t="s">
        <v>98</v>
      </c>
      <c r="X352">
        <v>1.1518282261244689E-2</v>
      </c>
      <c r="Y352" t="s">
        <v>77</v>
      </c>
      <c r="AA352" t="s">
        <v>164</v>
      </c>
      <c r="AB352" t="s">
        <v>98</v>
      </c>
      <c r="AC352">
        <v>1.4717769580619731E-2</v>
      </c>
      <c r="AD352" t="s">
        <v>77</v>
      </c>
    </row>
    <row r="353" spans="17:30" x14ac:dyDescent="0.25">
      <c r="Q353" t="s">
        <v>124</v>
      </c>
      <c r="R353" t="s">
        <v>99</v>
      </c>
      <c r="S353">
        <v>6.0566823656041553E-2</v>
      </c>
      <c r="T353" t="s">
        <v>77</v>
      </c>
      <c r="V353" t="s">
        <v>144</v>
      </c>
      <c r="W353" t="s">
        <v>99</v>
      </c>
      <c r="X353">
        <v>1.0174724413455766E-2</v>
      </c>
      <c r="Y353" t="s">
        <v>77</v>
      </c>
      <c r="AA353" t="s">
        <v>164</v>
      </c>
      <c r="AB353" t="s">
        <v>99</v>
      </c>
      <c r="AC353">
        <v>1.4849804014325441E-2</v>
      </c>
      <c r="AD353" t="s">
        <v>77</v>
      </c>
    </row>
    <row r="354" spans="17:30" x14ac:dyDescent="0.25">
      <c r="Q354" t="s">
        <v>124</v>
      </c>
      <c r="R354" t="s">
        <v>100</v>
      </c>
      <c r="S354">
        <v>7.4030355701924941E-2</v>
      </c>
      <c r="T354" t="s">
        <v>77</v>
      </c>
      <c r="V354" t="s">
        <v>144</v>
      </c>
      <c r="W354" t="s">
        <v>100</v>
      </c>
      <c r="X354">
        <v>1.1215158209815222E-2</v>
      </c>
      <c r="Y354" t="s">
        <v>77</v>
      </c>
      <c r="AA354" t="s">
        <v>164</v>
      </c>
      <c r="AB354" t="s">
        <v>100</v>
      </c>
      <c r="AC354">
        <v>1.4830807923951651E-2</v>
      </c>
      <c r="AD354" t="s">
        <v>77</v>
      </c>
    </row>
    <row r="355" spans="17:30" x14ac:dyDescent="0.25">
      <c r="Q355" t="s">
        <v>124</v>
      </c>
      <c r="R355" t="s">
        <v>101</v>
      </c>
      <c r="S355">
        <v>7.2711794046553133E-2</v>
      </c>
      <c r="T355" t="s">
        <v>77</v>
      </c>
      <c r="V355" t="s">
        <v>144</v>
      </c>
      <c r="W355" t="s">
        <v>101</v>
      </c>
      <c r="X355">
        <v>1.0611557363906563E-2</v>
      </c>
      <c r="Y355" t="s">
        <v>77</v>
      </c>
      <c r="AA355" t="s">
        <v>164</v>
      </c>
      <c r="AB355" t="s">
        <v>101</v>
      </c>
      <c r="AC355">
        <v>1.3155206510253687E-2</v>
      </c>
      <c r="AD355" t="s">
        <v>77</v>
      </c>
    </row>
    <row r="356" spans="17:30" x14ac:dyDescent="0.25">
      <c r="Q356" t="s">
        <v>124</v>
      </c>
      <c r="R356" t="s">
        <v>102</v>
      </c>
      <c r="S356">
        <v>6.9393590552996307E-2</v>
      </c>
      <c r="T356" t="s">
        <v>77</v>
      </c>
      <c r="V356" t="s">
        <v>144</v>
      </c>
      <c r="W356" t="s">
        <v>102</v>
      </c>
      <c r="X356">
        <v>1.3655070178820406E-2</v>
      </c>
      <c r="Y356" t="s">
        <v>77</v>
      </c>
      <c r="AA356" t="s">
        <v>164</v>
      </c>
      <c r="AB356" t="s">
        <v>102</v>
      </c>
      <c r="AC356">
        <v>1.3801384280653143E-2</v>
      </c>
      <c r="AD356" t="s">
        <v>77</v>
      </c>
    </row>
    <row r="357" spans="17:30" x14ac:dyDescent="0.25">
      <c r="Q357" t="s">
        <v>124</v>
      </c>
      <c r="R357" t="s">
        <v>103</v>
      </c>
      <c r="S357">
        <v>6.0773159761356985E-2</v>
      </c>
      <c r="T357" t="s">
        <v>77</v>
      </c>
      <c r="V357" t="s">
        <v>144</v>
      </c>
      <c r="W357" t="s">
        <v>103</v>
      </c>
      <c r="X357">
        <v>1.4380545113203108E-2</v>
      </c>
      <c r="Y357" t="s">
        <v>77</v>
      </c>
      <c r="AA357" t="s">
        <v>164</v>
      </c>
      <c r="AB357" t="s">
        <v>103</v>
      </c>
      <c r="AC357">
        <v>1.4381510025637747E-2</v>
      </c>
      <c r="AD357" t="s">
        <v>77</v>
      </c>
    </row>
    <row r="358" spans="17:30" x14ac:dyDescent="0.25">
      <c r="Q358" t="s">
        <v>124</v>
      </c>
      <c r="R358" t="s">
        <v>104</v>
      </c>
      <c r="S358">
        <v>3.8983412212392321E-2</v>
      </c>
      <c r="T358" t="s">
        <v>77</v>
      </c>
      <c r="V358" t="s">
        <v>144</v>
      </c>
      <c r="W358" t="s">
        <v>104</v>
      </c>
      <c r="X358">
        <v>1.2771259970619349E-2</v>
      </c>
      <c r="Y358" t="s">
        <v>77</v>
      </c>
      <c r="AA358" t="s">
        <v>164</v>
      </c>
      <c r="AB358" t="s">
        <v>104</v>
      </c>
      <c r="AC358">
        <v>1.5012578393840783E-2</v>
      </c>
      <c r="AD358" t="s">
        <v>77</v>
      </c>
    </row>
    <row r="359" spans="17:30" x14ac:dyDescent="0.25">
      <c r="Q359" t="s">
        <v>124</v>
      </c>
      <c r="R359" t="s">
        <v>105</v>
      </c>
      <c r="S359">
        <v>9.4879117035332593E-3</v>
      </c>
      <c r="T359" t="s">
        <v>77</v>
      </c>
      <c r="V359" t="s">
        <v>144</v>
      </c>
      <c r="W359" t="s">
        <v>105</v>
      </c>
      <c r="X359">
        <v>1.296186906561712E-2</v>
      </c>
      <c r="Y359" t="s">
        <v>77</v>
      </c>
      <c r="AA359" t="s">
        <v>164</v>
      </c>
      <c r="AB359" t="s">
        <v>105</v>
      </c>
      <c r="AC359">
        <v>1.4863136080949106E-2</v>
      </c>
      <c r="AD359" t="s">
        <v>77</v>
      </c>
    </row>
    <row r="360" spans="17:30" x14ac:dyDescent="0.25">
      <c r="Q360" t="s">
        <v>124</v>
      </c>
      <c r="R360" t="s">
        <v>106</v>
      </c>
      <c r="S360">
        <v>0</v>
      </c>
      <c r="T360" t="s">
        <v>77</v>
      </c>
      <c r="V360" t="s">
        <v>144</v>
      </c>
      <c r="W360" t="s">
        <v>106</v>
      </c>
      <c r="X360">
        <v>1.9768669069466442E-2</v>
      </c>
      <c r="Y360" t="s">
        <v>77</v>
      </c>
      <c r="AA360" t="s">
        <v>164</v>
      </c>
      <c r="AB360" t="s">
        <v>106</v>
      </c>
      <c r="AC360">
        <v>2.3811250218748303E-2</v>
      </c>
      <c r="AD360" t="s">
        <v>77</v>
      </c>
    </row>
    <row r="361" spans="17:30" x14ac:dyDescent="0.25">
      <c r="Q361" t="s">
        <v>124</v>
      </c>
      <c r="R361" t="s">
        <v>107</v>
      </c>
      <c r="S361">
        <v>0</v>
      </c>
      <c r="T361" t="s">
        <v>77</v>
      </c>
      <c r="V361" t="s">
        <v>144</v>
      </c>
      <c r="W361" t="s">
        <v>107</v>
      </c>
      <c r="X361">
        <v>5.7186215188443745E-2</v>
      </c>
      <c r="Y361" t="s">
        <v>77</v>
      </c>
      <c r="AA361" t="s">
        <v>164</v>
      </c>
      <c r="AB361" t="s">
        <v>107</v>
      </c>
      <c r="AC361">
        <v>5.4637477744072384E-2</v>
      </c>
      <c r="AD361" t="s">
        <v>77</v>
      </c>
    </row>
    <row r="362" spans="17:30" x14ac:dyDescent="0.25">
      <c r="Q362" t="s">
        <v>124</v>
      </c>
      <c r="R362" t="s">
        <v>108</v>
      </c>
      <c r="S362">
        <v>1.7883180573093904E-3</v>
      </c>
      <c r="T362" t="s">
        <v>77</v>
      </c>
      <c r="V362" t="s">
        <v>144</v>
      </c>
      <c r="W362" t="s">
        <v>108</v>
      </c>
      <c r="X362">
        <v>2.2113244350616644E-2</v>
      </c>
      <c r="Y362" t="s">
        <v>77</v>
      </c>
      <c r="AA362" t="s">
        <v>164</v>
      </c>
      <c r="AB362" t="s">
        <v>108</v>
      </c>
      <c r="AC362">
        <v>2.1181250778593889E-2</v>
      </c>
      <c r="AD362" t="s">
        <v>77</v>
      </c>
    </row>
    <row r="363" spans="17:30" x14ac:dyDescent="0.25">
      <c r="Q363" t="s">
        <v>124</v>
      </c>
      <c r="R363" t="s">
        <v>109</v>
      </c>
      <c r="S363">
        <v>1.8428439921415293E-2</v>
      </c>
      <c r="T363" t="s">
        <v>77</v>
      </c>
      <c r="V363" t="s">
        <v>144</v>
      </c>
      <c r="W363" t="s">
        <v>109</v>
      </c>
      <c r="X363">
        <v>2.122596863963858E-2</v>
      </c>
      <c r="Y363" t="s">
        <v>77</v>
      </c>
      <c r="AA363" t="s">
        <v>164</v>
      </c>
      <c r="AB363" t="s">
        <v>109</v>
      </c>
      <c r="AC363">
        <v>2.1863883953438901E-2</v>
      </c>
      <c r="AD363" t="s">
        <v>77</v>
      </c>
    </row>
    <row r="364" spans="17:30" x14ac:dyDescent="0.25">
      <c r="Q364" t="s">
        <v>124</v>
      </c>
      <c r="R364" t="s">
        <v>110</v>
      </c>
      <c r="S364">
        <v>3.4838022611784626E-2</v>
      </c>
      <c r="T364" t="s">
        <v>77</v>
      </c>
      <c r="V364" t="s">
        <v>144</v>
      </c>
      <c r="W364" t="s">
        <v>110</v>
      </c>
      <c r="X364">
        <v>2.1027498592654237E-2</v>
      </c>
      <c r="Y364" t="s">
        <v>77</v>
      </c>
      <c r="AA364" t="s">
        <v>164</v>
      </c>
      <c r="AB364" t="s">
        <v>110</v>
      </c>
      <c r="AC364">
        <v>2.1969234748791484E-2</v>
      </c>
      <c r="AD364" t="s">
        <v>77</v>
      </c>
    </row>
    <row r="365" spans="17:30" x14ac:dyDescent="0.25">
      <c r="Q365" t="s">
        <v>124</v>
      </c>
      <c r="R365" t="s">
        <v>111</v>
      </c>
      <c r="S365">
        <v>3.5778477978367938E-2</v>
      </c>
      <c r="T365" t="s">
        <v>77</v>
      </c>
      <c r="V365" t="s">
        <v>144</v>
      </c>
      <c r="W365" t="s">
        <v>111</v>
      </c>
      <c r="X365">
        <v>2.0385193562989581E-2</v>
      </c>
      <c r="Y365" t="s">
        <v>77</v>
      </c>
      <c r="AA365" t="s">
        <v>164</v>
      </c>
      <c r="AB365" t="s">
        <v>111</v>
      </c>
      <c r="AC365">
        <v>2.1366461556802208E-2</v>
      </c>
      <c r="AD365" t="s">
        <v>77</v>
      </c>
    </row>
    <row r="366" spans="17:30" x14ac:dyDescent="0.25">
      <c r="Q366" t="s">
        <v>124</v>
      </c>
      <c r="R366" t="s">
        <v>112</v>
      </c>
      <c r="S366">
        <v>3.4528471392230184E-2</v>
      </c>
      <c r="T366" t="s">
        <v>77</v>
      </c>
      <c r="V366" t="s">
        <v>144</v>
      </c>
      <c r="W366" t="s">
        <v>112</v>
      </c>
      <c r="X366">
        <v>2.1192496846804066E-2</v>
      </c>
      <c r="Y366" t="s">
        <v>77</v>
      </c>
      <c r="AA366" t="s">
        <v>164</v>
      </c>
      <c r="AB366" t="s">
        <v>112</v>
      </c>
      <c r="AC366">
        <v>2.0918612431665415E-2</v>
      </c>
      <c r="AD366" t="s">
        <v>77</v>
      </c>
    </row>
    <row r="367" spans="17:30" x14ac:dyDescent="0.25">
      <c r="Q367" t="s">
        <v>124</v>
      </c>
      <c r="R367" t="s">
        <v>113</v>
      </c>
      <c r="S367">
        <v>2.1674291386865295E-2</v>
      </c>
      <c r="T367" t="s">
        <v>77</v>
      </c>
      <c r="V367" t="s">
        <v>144</v>
      </c>
      <c r="W367" t="s">
        <v>113</v>
      </c>
      <c r="X367">
        <v>2.1903180741560432E-2</v>
      </c>
      <c r="Y367" t="s">
        <v>77</v>
      </c>
      <c r="AA367" t="s">
        <v>164</v>
      </c>
      <c r="AB367" t="s">
        <v>113</v>
      </c>
      <c r="AC367">
        <v>2.0978945999179308E-2</v>
      </c>
      <c r="AD367" t="s">
        <v>77</v>
      </c>
    </row>
    <row r="368" spans="17:30" x14ac:dyDescent="0.25">
      <c r="Q368" t="s">
        <v>124</v>
      </c>
      <c r="R368" t="s">
        <v>114</v>
      </c>
      <c r="S368">
        <v>5.8854945201738847E-3</v>
      </c>
      <c r="T368" t="s">
        <v>77</v>
      </c>
      <c r="V368" t="s">
        <v>144</v>
      </c>
      <c r="W368" t="s">
        <v>114</v>
      </c>
      <c r="X368">
        <v>2.3661867151817048E-2</v>
      </c>
      <c r="Y368" t="s">
        <v>77</v>
      </c>
      <c r="AA368" t="s">
        <v>164</v>
      </c>
      <c r="AB368" t="s">
        <v>114</v>
      </c>
      <c r="AC368">
        <v>2.1692797580794565E-2</v>
      </c>
      <c r="AD368" t="s">
        <v>77</v>
      </c>
    </row>
    <row r="369" spans="17:30" x14ac:dyDescent="0.25">
      <c r="Q369" t="s">
        <v>124</v>
      </c>
      <c r="R369" t="s">
        <v>115</v>
      </c>
      <c r="S369">
        <v>0</v>
      </c>
      <c r="T369" t="s">
        <v>77</v>
      </c>
      <c r="V369" t="s">
        <v>144</v>
      </c>
      <c r="W369" t="s">
        <v>115</v>
      </c>
      <c r="X369">
        <v>2.4677433288574253E-2</v>
      </c>
      <c r="Y369" t="s">
        <v>77</v>
      </c>
      <c r="AA369" t="s">
        <v>164</v>
      </c>
      <c r="AB369" t="s">
        <v>115</v>
      </c>
      <c r="AC369">
        <v>2.2438494801086901E-2</v>
      </c>
      <c r="AD369" t="s">
        <v>77</v>
      </c>
    </row>
    <row r="370" spans="17:30" x14ac:dyDescent="0.25">
      <c r="Q370" t="s">
        <v>124</v>
      </c>
      <c r="R370" t="s">
        <v>116</v>
      </c>
      <c r="S370">
        <v>0</v>
      </c>
      <c r="T370" t="s">
        <v>77</v>
      </c>
      <c r="V370" t="s">
        <v>144</v>
      </c>
      <c r="W370" t="s">
        <v>116</v>
      </c>
      <c r="X370">
        <v>3.7421624707715394E-2</v>
      </c>
      <c r="Y370" t="s">
        <v>77</v>
      </c>
      <c r="AA370" t="s">
        <v>164</v>
      </c>
      <c r="AB370" t="s">
        <v>116</v>
      </c>
      <c r="AC370">
        <v>3.3627111148512329E-2</v>
      </c>
      <c r="AD370" t="s">
        <v>77</v>
      </c>
    </row>
    <row r="371" spans="17:30" x14ac:dyDescent="0.25">
      <c r="Q371" t="s">
        <v>125</v>
      </c>
      <c r="R371" t="s">
        <v>76</v>
      </c>
      <c r="S371">
        <v>0</v>
      </c>
      <c r="T371" t="s">
        <v>77</v>
      </c>
      <c r="V371" t="s">
        <v>145</v>
      </c>
      <c r="W371" t="s">
        <v>76</v>
      </c>
      <c r="X371">
        <v>6.2320605070355063E-2</v>
      </c>
      <c r="Y371" t="s">
        <v>77</v>
      </c>
      <c r="AA371" t="s">
        <v>165</v>
      </c>
      <c r="AB371" t="s">
        <v>76</v>
      </c>
      <c r="AC371">
        <v>5.9911291845391464E-2</v>
      </c>
      <c r="AD371" t="s">
        <v>77</v>
      </c>
    </row>
    <row r="372" spans="17:30" x14ac:dyDescent="0.25">
      <c r="Q372" t="s">
        <v>125</v>
      </c>
      <c r="R372" t="s">
        <v>78</v>
      </c>
      <c r="S372">
        <v>0</v>
      </c>
      <c r="T372" t="s">
        <v>77</v>
      </c>
      <c r="V372" t="s">
        <v>145</v>
      </c>
      <c r="W372" t="s">
        <v>78</v>
      </c>
      <c r="X372">
        <v>2.574339612831722E-2</v>
      </c>
      <c r="Y372" t="s">
        <v>77</v>
      </c>
      <c r="AA372" t="s">
        <v>165</v>
      </c>
      <c r="AB372" t="s">
        <v>78</v>
      </c>
      <c r="AC372">
        <v>2.4517646524981302E-2</v>
      </c>
      <c r="AD372" t="s">
        <v>77</v>
      </c>
    </row>
    <row r="373" spans="17:30" x14ac:dyDescent="0.25">
      <c r="Q373" t="s">
        <v>125</v>
      </c>
      <c r="R373" t="s">
        <v>79</v>
      </c>
      <c r="S373">
        <v>1.2935834152192187E-3</v>
      </c>
      <c r="T373" t="s">
        <v>77</v>
      </c>
      <c r="V373" t="s">
        <v>145</v>
      </c>
      <c r="W373" t="s">
        <v>79</v>
      </c>
      <c r="X373">
        <v>2.6139951478135082E-2</v>
      </c>
      <c r="Y373" t="s">
        <v>77</v>
      </c>
      <c r="AA373" t="s">
        <v>165</v>
      </c>
      <c r="AB373" t="s">
        <v>79</v>
      </c>
      <c r="AC373">
        <v>2.5073411589746804E-2</v>
      </c>
      <c r="AD373" t="s">
        <v>77</v>
      </c>
    </row>
    <row r="374" spans="17:30" x14ac:dyDescent="0.25">
      <c r="Q374" t="s">
        <v>125</v>
      </c>
      <c r="R374" t="s">
        <v>80</v>
      </c>
      <c r="S374">
        <v>1.4263492880538357E-2</v>
      </c>
      <c r="T374" t="s">
        <v>77</v>
      </c>
      <c r="V374" t="s">
        <v>145</v>
      </c>
      <c r="W374" t="s">
        <v>80</v>
      </c>
      <c r="X374">
        <v>2.6275558865837875E-2</v>
      </c>
      <c r="Y374" t="s">
        <v>77</v>
      </c>
      <c r="AA374" t="s">
        <v>165</v>
      </c>
      <c r="AB374" t="s">
        <v>80</v>
      </c>
      <c r="AC374">
        <v>2.4757289366957605E-2</v>
      </c>
      <c r="AD374" t="s">
        <v>77</v>
      </c>
    </row>
    <row r="375" spans="17:30" x14ac:dyDescent="0.25">
      <c r="Q375" t="s">
        <v>125</v>
      </c>
      <c r="R375" t="s">
        <v>81</v>
      </c>
      <c r="S375">
        <v>2.2404047081857274E-2</v>
      </c>
      <c r="T375" t="s">
        <v>77</v>
      </c>
      <c r="V375" t="s">
        <v>145</v>
      </c>
      <c r="W375" t="s">
        <v>81</v>
      </c>
      <c r="X375">
        <v>2.5957273986090761E-2</v>
      </c>
      <c r="Y375" t="s">
        <v>77</v>
      </c>
      <c r="AA375" t="s">
        <v>165</v>
      </c>
      <c r="AB375" t="s">
        <v>81</v>
      </c>
      <c r="AC375">
        <v>2.5489467620422004E-2</v>
      </c>
      <c r="AD375" t="s">
        <v>77</v>
      </c>
    </row>
    <row r="376" spans="17:30" x14ac:dyDescent="0.25">
      <c r="Q376" t="s">
        <v>125</v>
      </c>
      <c r="R376" t="s">
        <v>82</v>
      </c>
      <c r="S376">
        <v>2.039175359265134E-2</v>
      </c>
      <c r="T376" t="s">
        <v>77</v>
      </c>
      <c r="V376" t="s">
        <v>145</v>
      </c>
      <c r="W376" t="s">
        <v>82</v>
      </c>
      <c r="X376">
        <v>2.61098443819455E-2</v>
      </c>
      <c r="Y376" t="s">
        <v>77</v>
      </c>
      <c r="AA376" t="s">
        <v>165</v>
      </c>
      <c r="AB376" t="s">
        <v>82</v>
      </c>
      <c r="AC376">
        <v>2.585278211276016E-2</v>
      </c>
      <c r="AD376" t="s">
        <v>77</v>
      </c>
    </row>
    <row r="377" spans="17:30" x14ac:dyDescent="0.25">
      <c r="Q377" t="s">
        <v>125</v>
      </c>
      <c r="R377" t="s">
        <v>83</v>
      </c>
      <c r="S377">
        <v>8.2435213278738394E-3</v>
      </c>
      <c r="T377" t="s">
        <v>77</v>
      </c>
      <c r="V377" t="s">
        <v>145</v>
      </c>
      <c r="W377" t="s">
        <v>83</v>
      </c>
      <c r="X377">
        <v>2.6420488817799806E-2</v>
      </c>
      <c r="Y377" t="s">
        <v>77</v>
      </c>
      <c r="AA377" t="s">
        <v>165</v>
      </c>
      <c r="AB377" t="s">
        <v>83</v>
      </c>
      <c r="AC377">
        <v>2.655311522159727E-2</v>
      </c>
      <c r="AD377" t="s">
        <v>77</v>
      </c>
    </row>
    <row r="378" spans="17:30" x14ac:dyDescent="0.25">
      <c r="Q378" t="s">
        <v>125</v>
      </c>
      <c r="R378" t="s">
        <v>84</v>
      </c>
      <c r="S378">
        <v>6.3964573775768274E-4</v>
      </c>
      <c r="T378" t="s">
        <v>77</v>
      </c>
      <c r="V378" t="s">
        <v>145</v>
      </c>
      <c r="W378" t="s">
        <v>84</v>
      </c>
      <c r="X378">
        <v>2.7416825222554165E-2</v>
      </c>
      <c r="Y378" t="s">
        <v>77</v>
      </c>
      <c r="AA378" t="s">
        <v>165</v>
      </c>
      <c r="AB378" t="s">
        <v>84</v>
      </c>
      <c r="AC378">
        <v>2.6897071305879813E-2</v>
      </c>
      <c r="AD378" t="s">
        <v>77</v>
      </c>
    </row>
    <row r="379" spans="17:30" x14ac:dyDescent="0.25">
      <c r="Q379" t="s">
        <v>125</v>
      </c>
      <c r="R379" t="s">
        <v>85</v>
      </c>
      <c r="S379">
        <v>0</v>
      </c>
      <c r="T379" t="s">
        <v>77</v>
      </c>
      <c r="V379" t="s">
        <v>145</v>
      </c>
      <c r="W379" t="s">
        <v>85</v>
      </c>
      <c r="X379">
        <v>2.8026367204163041E-2</v>
      </c>
      <c r="Y379" t="s">
        <v>77</v>
      </c>
      <c r="AA379" t="s">
        <v>165</v>
      </c>
      <c r="AB379" t="s">
        <v>85</v>
      </c>
      <c r="AC379">
        <v>2.6866809895916659E-2</v>
      </c>
      <c r="AD379" t="s">
        <v>77</v>
      </c>
    </row>
    <row r="380" spans="17:30" x14ac:dyDescent="0.25">
      <c r="Q380" t="s">
        <v>125</v>
      </c>
      <c r="R380" t="s">
        <v>86</v>
      </c>
      <c r="S380">
        <v>0</v>
      </c>
      <c r="T380" t="s">
        <v>77</v>
      </c>
      <c r="V380" t="s">
        <v>145</v>
      </c>
      <c r="W380" t="s">
        <v>86</v>
      </c>
      <c r="X380">
        <v>3.9529013675928718E-2</v>
      </c>
      <c r="Y380" t="s">
        <v>77</v>
      </c>
      <c r="AA380" t="s">
        <v>165</v>
      </c>
      <c r="AB380" t="s">
        <v>86</v>
      </c>
      <c r="AC380">
        <v>3.7760599137828907E-2</v>
      </c>
      <c r="AD380" t="s">
        <v>77</v>
      </c>
    </row>
    <row r="381" spans="17:30" x14ac:dyDescent="0.25">
      <c r="Q381" t="s">
        <v>125</v>
      </c>
      <c r="R381" t="s">
        <v>87</v>
      </c>
      <c r="S381">
        <v>3.4851934652206537E-4</v>
      </c>
      <c r="T381" t="s">
        <v>77</v>
      </c>
      <c r="V381" t="s">
        <v>145</v>
      </c>
      <c r="W381" t="s">
        <v>87</v>
      </c>
      <c r="X381">
        <v>5.4818378574900836E-2</v>
      </c>
      <c r="Y381" t="s">
        <v>77</v>
      </c>
      <c r="AA381" t="s">
        <v>165</v>
      </c>
      <c r="AB381" t="s">
        <v>87</v>
      </c>
      <c r="AC381">
        <v>5.4416247026717143E-2</v>
      </c>
      <c r="AD381" t="s">
        <v>77</v>
      </c>
    </row>
    <row r="382" spans="17:30" x14ac:dyDescent="0.25">
      <c r="Q382" t="s">
        <v>125</v>
      </c>
      <c r="R382" t="s">
        <v>88</v>
      </c>
      <c r="S382">
        <v>1.5937480128070607E-2</v>
      </c>
      <c r="T382" t="s">
        <v>77</v>
      </c>
      <c r="V382" t="s">
        <v>145</v>
      </c>
      <c r="W382" t="s">
        <v>88</v>
      </c>
      <c r="X382">
        <v>2.1333549080882547E-2</v>
      </c>
      <c r="Y382" t="s">
        <v>77</v>
      </c>
      <c r="AA382" t="s">
        <v>165</v>
      </c>
      <c r="AB382" t="s">
        <v>88</v>
      </c>
      <c r="AC382">
        <v>2.0670883476068724E-2</v>
      </c>
      <c r="AD382" t="s">
        <v>77</v>
      </c>
    </row>
    <row r="383" spans="17:30" x14ac:dyDescent="0.25">
      <c r="Q383" t="s">
        <v>125</v>
      </c>
      <c r="R383" t="s">
        <v>89</v>
      </c>
      <c r="S383">
        <v>5.2432598919311076E-2</v>
      </c>
      <c r="T383" t="s">
        <v>77</v>
      </c>
      <c r="V383" t="s">
        <v>145</v>
      </c>
      <c r="W383" t="s">
        <v>89</v>
      </c>
      <c r="X383">
        <v>1.892284775496092E-2</v>
      </c>
      <c r="Y383" t="s">
        <v>77</v>
      </c>
      <c r="AA383" t="s">
        <v>165</v>
      </c>
      <c r="AB383" t="s">
        <v>89</v>
      </c>
      <c r="AC383">
        <v>2.0156048314850666E-2</v>
      </c>
      <c r="AD383" t="s">
        <v>77</v>
      </c>
    </row>
    <row r="384" spans="17:30" x14ac:dyDescent="0.25">
      <c r="Q384" t="s">
        <v>125</v>
      </c>
      <c r="R384" t="s">
        <v>90</v>
      </c>
      <c r="S384">
        <v>7.5279418739221227E-2</v>
      </c>
      <c r="T384" t="s">
        <v>77</v>
      </c>
      <c r="V384" t="s">
        <v>145</v>
      </c>
      <c r="W384" t="s">
        <v>90</v>
      </c>
      <c r="X384">
        <v>1.8911377412366787E-2</v>
      </c>
      <c r="Y384" t="s">
        <v>77</v>
      </c>
      <c r="AA384" t="s">
        <v>165</v>
      </c>
      <c r="AB384" t="s">
        <v>90</v>
      </c>
      <c r="AC384">
        <v>2.0064207924224958E-2</v>
      </c>
      <c r="AD384" t="s">
        <v>77</v>
      </c>
    </row>
    <row r="385" spans="17:30" x14ac:dyDescent="0.25">
      <c r="Q385" t="s">
        <v>125</v>
      </c>
      <c r="R385" t="s">
        <v>91</v>
      </c>
      <c r="S385">
        <v>7.3045863556885346E-2</v>
      </c>
      <c r="T385" t="s">
        <v>77</v>
      </c>
      <c r="V385" t="s">
        <v>145</v>
      </c>
      <c r="W385" t="s">
        <v>91</v>
      </c>
      <c r="X385">
        <v>1.806608319580414E-2</v>
      </c>
      <c r="Y385" t="s">
        <v>77</v>
      </c>
      <c r="AA385" t="s">
        <v>165</v>
      </c>
      <c r="AB385" t="s">
        <v>91</v>
      </c>
      <c r="AC385">
        <v>1.9441132278353774E-2</v>
      </c>
      <c r="AD385" t="s">
        <v>77</v>
      </c>
    </row>
    <row r="386" spans="17:30" x14ac:dyDescent="0.25">
      <c r="Q386" t="s">
        <v>125</v>
      </c>
      <c r="R386" t="s">
        <v>92</v>
      </c>
      <c r="S386">
        <v>7.212237993015036E-2</v>
      </c>
      <c r="T386" t="s">
        <v>77</v>
      </c>
      <c r="V386" t="s">
        <v>145</v>
      </c>
      <c r="W386" t="s">
        <v>92</v>
      </c>
      <c r="X386">
        <v>1.9448641832952529E-2</v>
      </c>
      <c r="Y386" t="s">
        <v>77</v>
      </c>
      <c r="AA386" t="s">
        <v>165</v>
      </c>
      <c r="AB386" t="s">
        <v>92</v>
      </c>
      <c r="AC386">
        <v>1.9964431788210297E-2</v>
      </c>
      <c r="AD386" t="s">
        <v>77</v>
      </c>
    </row>
    <row r="387" spans="17:30" x14ac:dyDescent="0.25">
      <c r="Q387" t="s">
        <v>125</v>
      </c>
      <c r="R387" t="s">
        <v>93</v>
      </c>
      <c r="S387">
        <v>5.8382557303080375E-2</v>
      </c>
      <c r="T387" t="s">
        <v>77</v>
      </c>
      <c r="V387" t="s">
        <v>145</v>
      </c>
      <c r="W387" t="s">
        <v>93</v>
      </c>
      <c r="X387">
        <v>1.9320592405986447E-2</v>
      </c>
      <c r="Y387" t="s">
        <v>77</v>
      </c>
      <c r="AA387" t="s">
        <v>165</v>
      </c>
      <c r="AB387" t="s">
        <v>93</v>
      </c>
      <c r="AC387">
        <v>2.0591831963613513E-2</v>
      </c>
      <c r="AD387" t="s">
        <v>77</v>
      </c>
    </row>
    <row r="388" spans="17:30" x14ac:dyDescent="0.25">
      <c r="Q388" t="s">
        <v>125</v>
      </c>
      <c r="R388" t="s">
        <v>94</v>
      </c>
      <c r="S388">
        <v>2.930587267815226E-2</v>
      </c>
      <c r="T388" t="s">
        <v>77</v>
      </c>
      <c r="V388" t="s">
        <v>145</v>
      </c>
      <c r="W388" t="s">
        <v>94</v>
      </c>
      <c r="X388">
        <v>1.8713779869737494E-2</v>
      </c>
      <c r="Y388" t="s">
        <v>77</v>
      </c>
      <c r="AA388" t="s">
        <v>165</v>
      </c>
      <c r="AB388" t="s">
        <v>94</v>
      </c>
      <c r="AC388">
        <v>2.1156203503485033E-2</v>
      </c>
      <c r="AD388" t="s">
        <v>77</v>
      </c>
    </row>
    <row r="389" spans="17:30" x14ac:dyDescent="0.25">
      <c r="Q389" t="s">
        <v>125</v>
      </c>
      <c r="R389" t="s">
        <v>95</v>
      </c>
      <c r="S389">
        <v>3.5287424820043835E-3</v>
      </c>
      <c r="T389" t="s">
        <v>77</v>
      </c>
      <c r="V389" t="s">
        <v>145</v>
      </c>
      <c r="W389" t="s">
        <v>95</v>
      </c>
      <c r="X389">
        <v>2.028484071616634E-2</v>
      </c>
      <c r="Y389" t="s">
        <v>77</v>
      </c>
      <c r="AA389" t="s">
        <v>165</v>
      </c>
      <c r="AB389" t="s">
        <v>95</v>
      </c>
      <c r="AC389">
        <v>2.1845143141531805E-2</v>
      </c>
      <c r="AD389" t="s">
        <v>77</v>
      </c>
    </row>
    <row r="390" spans="17:30" x14ac:dyDescent="0.25">
      <c r="Q390" t="s">
        <v>125</v>
      </c>
      <c r="R390" t="s">
        <v>96</v>
      </c>
      <c r="S390">
        <v>0</v>
      </c>
      <c r="T390" t="s">
        <v>77</v>
      </c>
      <c r="V390" t="s">
        <v>145</v>
      </c>
      <c r="W390" t="s">
        <v>96</v>
      </c>
      <c r="X390">
        <v>3.2489310238804726E-2</v>
      </c>
      <c r="Y390" t="s">
        <v>77</v>
      </c>
      <c r="AA390" t="s">
        <v>165</v>
      </c>
      <c r="AB390" t="s">
        <v>96</v>
      </c>
      <c r="AC390">
        <v>3.3445373801803194E-2</v>
      </c>
      <c r="AD390" t="s">
        <v>77</v>
      </c>
    </row>
    <row r="391" spans="17:30" x14ac:dyDescent="0.25">
      <c r="Q391" t="s">
        <v>125</v>
      </c>
      <c r="R391" t="s">
        <v>97</v>
      </c>
      <c r="S391">
        <v>2.0191393391025981E-3</v>
      </c>
      <c r="T391" t="s">
        <v>77</v>
      </c>
      <c r="V391" t="s">
        <v>145</v>
      </c>
      <c r="W391" t="s">
        <v>97</v>
      </c>
      <c r="X391">
        <v>3.350723410134341E-2</v>
      </c>
      <c r="Y391" t="s">
        <v>77</v>
      </c>
      <c r="AA391" t="s">
        <v>165</v>
      </c>
      <c r="AB391" t="s">
        <v>97</v>
      </c>
      <c r="AC391">
        <v>3.7608109475927305E-2</v>
      </c>
      <c r="AD391" t="s">
        <v>77</v>
      </c>
    </row>
    <row r="392" spans="17:30" x14ac:dyDescent="0.25">
      <c r="Q392" t="s">
        <v>125</v>
      </c>
      <c r="R392" t="s">
        <v>98</v>
      </c>
      <c r="S392">
        <v>2.5493235148037797E-2</v>
      </c>
      <c r="T392" t="s">
        <v>77</v>
      </c>
      <c r="V392" t="s">
        <v>145</v>
      </c>
      <c r="W392" t="s">
        <v>98</v>
      </c>
      <c r="X392">
        <v>1.3510281741268174E-2</v>
      </c>
      <c r="Y392" t="s">
        <v>77</v>
      </c>
      <c r="AA392" t="s">
        <v>165</v>
      </c>
      <c r="AB392" t="s">
        <v>98</v>
      </c>
      <c r="AC392">
        <v>1.4434561236669707E-2</v>
      </c>
      <c r="AD392" t="s">
        <v>77</v>
      </c>
    </row>
    <row r="393" spans="17:30" x14ac:dyDescent="0.25">
      <c r="Q393" t="s">
        <v>125</v>
      </c>
      <c r="R393" t="s">
        <v>99</v>
      </c>
      <c r="S393">
        <v>5.4968195074491855E-2</v>
      </c>
      <c r="T393" t="s">
        <v>77</v>
      </c>
      <c r="V393" t="s">
        <v>145</v>
      </c>
      <c r="W393" t="s">
        <v>99</v>
      </c>
      <c r="X393">
        <v>1.2455163262701938E-2</v>
      </c>
      <c r="Y393" t="s">
        <v>77</v>
      </c>
      <c r="AA393" t="s">
        <v>165</v>
      </c>
      <c r="AB393" t="s">
        <v>99</v>
      </c>
      <c r="AC393">
        <v>1.4690593680203912E-2</v>
      </c>
      <c r="AD393" t="s">
        <v>77</v>
      </c>
    </row>
    <row r="394" spans="17:30" x14ac:dyDescent="0.25">
      <c r="Q394" t="s">
        <v>125</v>
      </c>
      <c r="R394" t="s">
        <v>100</v>
      </c>
      <c r="S394">
        <v>7.162155476291597E-2</v>
      </c>
      <c r="T394" t="s">
        <v>77</v>
      </c>
      <c r="V394" t="s">
        <v>145</v>
      </c>
      <c r="W394" t="s">
        <v>100</v>
      </c>
      <c r="X394">
        <v>1.419873576495353E-2</v>
      </c>
      <c r="Y394" t="s">
        <v>77</v>
      </c>
      <c r="AA394" t="s">
        <v>165</v>
      </c>
      <c r="AB394" t="s">
        <v>100</v>
      </c>
      <c r="AC394">
        <v>1.4978558173805919E-2</v>
      </c>
      <c r="AD394" t="s">
        <v>77</v>
      </c>
    </row>
    <row r="395" spans="17:30" x14ac:dyDescent="0.25">
      <c r="Q395" t="s">
        <v>125</v>
      </c>
      <c r="R395" t="s">
        <v>101</v>
      </c>
      <c r="S395">
        <v>7.3059638274814209E-2</v>
      </c>
      <c r="T395" t="s">
        <v>77</v>
      </c>
      <c r="V395" t="s">
        <v>145</v>
      </c>
      <c r="W395" t="s">
        <v>101</v>
      </c>
      <c r="X395">
        <v>1.3538673989834955E-2</v>
      </c>
      <c r="Y395" t="s">
        <v>77</v>
      </c>
      <c r="AA395" t="s">
        <v>165</v>
      </c>
      <c r="AB395" t="s">
        <v>101</v>
      </c>
      <c r="AC395">
        <v>1.3523961528829263E-2</v>
      </c>
      <c r="AD395" t="s">
        <v>77</v>
      </c>
    </row>
    <row r="396" spans="17:30" x14ac:dyDescent="0.25">
      <c r="Q396" t="s">
        <v>125</v>
      </c>
      <c r="R396" t="s">
        <v>102</v>
      </c>
      <c r="S396">
        <v>7.1628566983014785E-2</v>
      </c>
      <c r="T396" t="s">
        <v>77</v>
      </c>
      <c r="V396" t="s">
        <v>145</v>
      </c>
      <c r="W396" t="s">
        <v>102</v>
      </c>
      <c r="X396">
        <v>1.5258327577581063E-2</v>
      </c>
      <c r="Y396" t="s">
        <v>77</v>
      </c>
      <c r="AA396" t="s">
        <v>165</v>
      </c>
      <c r="AB396" t="s">
        <v>102</v>
      </c>
      <c r="AC396">
        <v>1.394813084488835E-2</v>
      </c>
      <c r="AD396" t="s">
        <v>77</v>
      </c>
    </row>
    <row r="397" spans="17:30" x14ac:dyDescent="0.25">
      <c r="Q397" t="s">
        <v>125</v>
      </c>
      <c r="R397" t="s">
        <v>103</v>
      </c>
      <c r="S397">
        <v>6.2673857457917301E-2</v>
      </c>
      <c r="T397" t="s">
        <v>77</v>
      </c>
      <c r="V397" t="s">
        <v>145</v>
      </c>
      <c r="W397" t="s">
        <v>103</v>
      </c>
      <c r="X397">
        <v>1.5195842703845854E-2</v>
      </c>
      <c r="Y397" t="s">
        <v>77</v>
      </c>
      <c r="AA397" t="s">
        <v>165</v>
      </c>
      <c r="AB397" t="s">
        <v>103</v>
      </c>
      <c r="AC397">
        <v>1.4295428570322186E-2</v>
      </c>
      <c r="AD397" t="s">
        <v>77</v>
      </c>
    </row>
    <row r="398" spans="17:30" x14ac:dyDescent="0.25">
      <c r="Q398" t="s">
        <v>125</v>
      </c>
      <c r="R398" t="s">
        <v>104</v>
      </c>
      <c r="S398">
        <v>4.1662791230050539E-2</v>
      </c>
      <c r="T398" t="s">
        <v>77</v>
      </c>
      <c r="V398" t="s">
        <v>145</v>
      </c>
      <c r="W398" t="s">
        <v>104</v>
      </c>
      <c r="X398">
        <v>1.3196269930397601E-2</v>
      </c>
      <c r="Y398" t="s">
        <v>77</v>
      </c>
      <c r="AA398" t="s">
        <v>165</v>
      </c>
      <c r="AB398" t="s">
        <v>104</v>
      </c>
      <c r="AC398">
        <v>1.463064399010533E-2</v>
      </c>
      <c r="AD398" t="s">
        <v>77</v>
      </c>
    </row>
    <row r="399" spans="17:30" x14ac:dyDescent="0.25">
      <c r="Q399" t="s">
        <v>125</v>
      </c>
      <c r="R399" t="s">
        <v>105</v>
      </c>
      <c r="S399">
        <v>1.2623815776851892E-2</v>
      </c>
      <c r="T399" t="s">
        <v>77</v>
      </c>
      <c r="V399" t="s">
        <v>145</v>
      </c>
      <c r="W399" t="s">
        <v>105</v>
      </c>
      <c r="X399">
        <v>1.1932486530176133E-2</v>
      </c>
      <c r="Y399" t="s">
        <v>77</v>
      </c>
      <c r="AA399" t="s">
        <v>165</v>
      </c>
      <c r="AB399" t="s">
        <v>105</v>
      </c>
      <c r="AC399">
        <v>1.4692883911684596E-2</v>
      </c>
      <c r="AD399" t="s">
        <v>77</v>
      </c>
    </row>
    <row r="400" spans="17:30" x14ac:dyDescent="0.25">
      <c r="Q400" t="s">
        <v>125</v>
      </c>
      <c r="R400" t="s">
        <v>106</v>
      </c>
      <c r="S400">
        <v>0</v>
      </c>
      <c r="T400" t="s">
        <v>77</v>
      </c>
      <c r="V400" t="s">
        <v>145</v>
      </c>
      <c r="W400" t="s">
        <v>106</v>
      </c>
      <c r="X400">
        <v>1.9989907244241073E-2</v>
      </c>
      <c r="Y400" t="s">
        <v>77</v>
      </c>
      <c r="AA400" t="s">
        <v>165</v>
      </c>
      <c r="AB400" t="s">
        <v>106</v>
      </c>
      <c r="AC400">
        <v>2.313338513087268E-2</v>
      </c>
      <c r="AD400" t="s">
        <v>77</v>
      </c>
    </row>
    <row r="401" spans="17:30" x14ac:dyDescent="0.25">
      <c r="Q401" t="s">
        <v>125</v>
      </c>
      <c r="R401" t="s">
        <v>107</v>
      </c>
      <c r="S401">
        <v>0</v>
      </c>
      <c r="T401" t="s">
        <v>77</v>
      </c>
      <c r="V401" t="s">
        <v>145</v>
      </c>
      <c r="W401" t="s">
        <v>107</v>
      </c>
      <c r="X401">
        <v>5.8486167173837422E-2</v>
      </c>
      <c r="Y401" t="s">
        <v>77</v>
      </c>
      <c r="AA401" t="s">
        <v>165</v>
      </c>
      <c r="AB401" t="s">
        <v>107</v>
      </c>
      <c r="AC401">
        <v>5.5773304994139392E-2</v>
      </c>
      <c r="AD401" t="s">
        <v>77</v>
      </c>
    </row>
    <row r="402" spans="17:30" x14ac:dyDescent="0.25">
      <c r="Q402" t="s">
        <v>125</v>
      </c>
      <c r="R402" t="s">
        <v>108</v>
      </c>
      <c r="S402">
        <v>1.5147721294619043E-3</v>
      </c>
      <c r="T402" t="s">
        <v>77</v>
      </c>
      <c r="V402" t="s">
        <v>145</v>
      </c>
      <c r="W402" t="s">
        <v>108</v>
      </c>
      <c r="X402">
        <v>2.2923437498377976E-2</v>
      </c>
      <c r="Y402" t="s">
        <v>77</v>
      </c>
      <c r="AA402" t="s">
        <v>165</v>
      </c>
      <c r="AB402" t="s">
        <v>108</v>
      </c>
      <c r="AC402">
        <v>2.1520302446659732E-2</v>
      </c>
      <c r="AD402" t="s">
        <v>77</v>
      </c>
    </row>
    <row r="403" spans="17:30" x14ac:dyDescent="0.25">
      <c r="Q403" t="s">
        <v>125</v>
      </c>
      <c r="R403" t="s">
        <v>109</v>
      </c>
      <c r="S403">
        <v>1.5483426448076435E-2</v>
      </c>
      <c r="T403" t="s">
        <v>77</v>
      </c>
      <c r="V403" t="s">
        <v>145</v>
      </c>
      <c r="W403" t="s">
        <v>109</v>
      </c>
      <c r="X403">
        <v>2.2909396145773388E-2</v>
      </c>
      <c r="Y403" t="s">
        <v>77</v>
      </c>
      <c r="AA403" t="s">
        <v>165</v>
      </c>
      <c r="AB403" t="s">
        <v>109</v>
      </c>
      <c r="AC403">
        <v>2.2121283324676253E-2</v>
      </c>
      <c r="AD403" t="s">
        <v>77</v>
      </c>
    </row>
    <row r="404" spans="17:30" x14ac:dyDescent="0.25">
      <c r="Q404" t="s">
        <v>125</v>
      </c>
      <c r="R404" t="s">
        <v>110</v>
      </c>
      <c r="S404">
        <v>2.9926035440322164E-2</v>
      </c>
      <c r="T404" t="s">
        <v>77</v>
      </c>
      <c r="V404" t="s">
        <v>145</v>
      </c>
      <c r="W404" t="s">
        <v>110</v>
      </c>
      <c r="X404">
        <v>2.2698164059565908E-2</v>
      </c>
      <c r="Y404" t="s">
        <v>77</v>
      </c>
      <c r="AA404" t="s">
        <v>165</v>
      </c>
      <c r="AB404" t="s">
        <v>110</v>
      </c>
      <c r="AC404">
        <v>2.2339944202910952E-2</v>
      </c>
      <c r="AD404" t="s">
        <v>77</v>
      </c>
    </row>
    <row r="405" spans="17:30" x14ac:dyDescent="0.25">
      <c r="Q405" t="s">
        <v>125</v>
      </c>
      <c r="R405" t="s">
        <v>111</v>
      </c>
      <c r="S405">
        <v>3.2051932204856602E-2</v>
      </c>
      <c r="T405" t="s">
        <v>77</v>
      </c>
      <c r="V405" t="s">
        <v>145</v>
      </c>
      <c r="W405" t="s">
        <v>111</v>
      </c>
      <c r="X405">
        <v>2.2442037981386467E-2</v>
      </c>
      <c r="Y405" t="s">
        <v>77</v>
      </c>
      <c r="AA405" t="s">
        <v>165</v>
      </c>
      <c r="AB405" t="s">
        <v>111</v>
      </c>
      <c r="AC405">
        <v>2.1731211245335773E-2</v>
      </c>
      <c r="AD405" t="s">
        <v>77</v>
      </c>
    </row>
    <row r="406" spans="17:30" x14ac:dyDescent="0.25">
      <c r="Q406" t="s">
        <v>125</v>
      </c>
      <c r="R406" t="s">
        <v>112</v>
      </c>
      <c r="S406">
        <v>3.1279317406044817E-2</v>
      </c>
      <c r="T406" t="s">
        <v>77</v>
      </c>
      <c r="V406" t="s">
        <v>145</v>
      </c>
      <c r="W406" t="s">
        <v>112</v>
      </c>
      <c r="X406">
        <v>2.2657964934193836E-2</v>
      </c>
      <c r="Y406" t="s">
        <v>77</v>
      </c>
      <c r="AA406" t="s">
        <v>165</v>
      </c>
      <c r="AB406" t="s">
        <v>112</v>
      </c>
      <c r="AC406">
        <v>2.1505132521329885E-2</v>
      </c>
      <c r="AD406" t="s">
        <v>77</v>
      </c>
    </row>
    <row r="407" spans="17:30" x14ac:dyDescent="0.25">
      <c r="Q407" t="s">
        <v>125</v>
      </c>
      <c r="R407" t="s">
        <v>113</v>
      </c>
      <c r="S407">
        <v>2.0476870347412152E-2</v>
      </c>
      <c r="T407" t="s">
        <v>77</v>
      </c>
      <c r="V407" t="s">
        <v>145</v>
      </c>
      <c r="W407" t="s">
        <v>113</v>
      </c>
      <c r="X407">
        <v>2.252134650366951E-2</v>
      </c>
      <c r="Y407" t="s">
        <v>77</v>
      </c>
      <c r="AA407" t="s">
        <v>165</v>
      </c>
      <c r="AB407" t="s">
        <v>113</v>
      </c>
      <c r="AC407">
        <v>2.1502083237824494E-2</v>
      </c>
      <c r="AD407" t="s">
        <v>77</v>
      </c>
    </row>
    <row r="408" spans="17:30" x14ac:dyDescent="0.25">
      <c r="Q408" t="s">
        <v>125</v>
      </c>
      <c r="R408" t="s">
        <v>114</v>
      </c>
      <c r="S408">
        <v>5.8973748573326957E-3</v>
      </c>
      <c r="T408" t="s">
        <v>77</v>
      </c>
      <c r="V408" t="s">
        <v>145</v>
      </c>
      <c r="W408" t="s">
        <v>114</v>
      </c>
      <c r="X408">
        <v>2.3678022415982689E-2</v>
      </c>
      <c r="Y408" t="s">
        <v>77</v>
      </c>
      <c r="AA408" t="s">
        <v>165</v>
      </c>
      <c r="AB408" t="s">
        <v>114</v>
      </c>
      <c r="AC408">
        <v>2.2641199912306474E-2</v>
      </c>
      <c r="AD408" t="s">
        <v>77</v>
      </c>
    </row>
    <row r="409" spans="17:30" x14ac:dyDescent="0.25">
      <c r="Q409" t="s">
        <v>125</v>
      </c>
      <c r="R409" t="s">
        <v>115</v>
      </c>
      <c r="S409">
        <v>0</v>
      </c>
      <c r="T409" t="s">
        <v>77</v>
      </c>
      <c r="V409" t="s">
        <v>145</v>
      </c>
      <c r="W409" t="s">
        <v>115</v>
      </c>
      <c r="X409">
        <v>2.489378637794587E-2</v>
      </c>
      <c r="Y409" t="s">
        <v>77</v>
      </c>
      <c r="AA409" t="s">
        <v>165</v>
      </c>
      <c r="AB409" t="s">
        <v>115</v>
      </c>
      <c r="AC409">
        <v>2.3822467817519195E-2</v>
      </c>
      <c r="AD409" t="s">
        <v>77</v>
      </c>
    </row>
    <row r="410" spans="17:30" x14ac:dyDescent="0.25">
      <c r="Q410" t="s">
        <v>125</v>
      </c>
      <c r="R410" t="s">
        <v>116</v>
      </c>
      <c r="S410">
        <v>0</v>
      </c>
      <c r="T410" t="s">
        <v>77</v>
      </c>
      <c r="V410" t="s">
        <v>145</v>
      </c>
      <c r="W410" t="s">
        <v>116</v>
      </c>
      <c r="X410">
        <v>3.7758028149234783E-2</v>
      </c>
      <c r="Y410" t="s">
        <v>77</v>
      </c>
      <c r="AA410" t="s">
        <v>165</v>
      </c>
      <c r="AB410" t="s">
        <v>116</v>
      </c>
      <c r="AC410">
        <v>3.5675825913647929E-2</v>
      </c>
      <c r="AD410" t="s">
        <v>77</v>
      </c>
    </row>
    <row r="411" spans="17:30" x14ac:dyDescent="0.25">
      <c r="Q411" t="s">
        <v>126</v>
      </c>
      <c r="R411" t="s">
        <v>76</v>
      </c>
      <c r="S411">
        <v>0</v>
      </c>
      <c r="T411" t="s">
        <v>77</v>
      </c>
      <c r="V411" t="s">
        <v>146</v>
      </c>
      <c r="W411" t="s">
        <v>76</v>
      </c>
      <c r="X411">
        <v>6.6023142812389315E-2</v>
      </c>
      <c r="Y411" t="s">
        <v>77</v>
      </c>
    </row>
    <row r="412" spans="17:30" x14ac:dyDescent="0.25">
      <c r="Q412" t="s">
        <v>126</v>
      </c>
      <c r="R412" t="s">
        <v>78</v>
      </c>
      <c r="S412">
        <v>0</v>
      </c>
      <c r="T412" t="s">
        <v>77</v>
      </c>
      <c r="V412" t="s">
        <v>146</v>
      </c>
      <c r="W412" t="s">
        <v>78</v>
      </c>
      <c r="X412">
        <v>2.6983947949341624E-2</v>
      </c>
      <c r="Y412" t="s">
        <v>77</v>
      </c>
    </row>
    <row r="413" spans="17:30" x14ac:dyDescent="0.25">
      <c r="Q413" t="s">
        <v>126</v>
      </c>
      <c r="R413" t="s">
        <v>79</v>
      </c>
      <c r="S413">
        <v>1.1076724473383459E-3</v>
      </c>
      <c r="T413" t="s">
        <v>77</v>
      </c>
      <c r="V413" t="s">
        <v>146</v>
      </c>
      <c r="W413" t="s">
        <v>79</v>
      </c>
      <c r="X413">
        <v>2.7836401387247512E-2</v>
      </c>
      <c r="Y413" t="s">
        <v>77</v>
      </c>
    </row>
    <row r="414" spans="17:30" x14ac:dyDescent="0.25">
      <c r="Q414" t="s">
        <v>126</v>
      </c>
      <c r="R414" t="s">
        <v>80</v>
      </c>
      <c r="S414">
        <v>1.484347371818173E-2</v>
      </c>
      <c r="T414" t="s">
        <v>77</v>
      </c>
      <c r="V414" t="s">
        <v>146</v>
      </c>
      <c r="W414" t="s">
        <v>80</v>
      </c>
      <c r="X414">
        <v>2.9049738608486919E-2</v>
      </c>
      <c r="Y414" t="s">
        <v>77</v>
      </c>
    </row>
    <row r="415" spans="17:30" x14ac:dyDescent="0.25">
      <c r="Q415" t="s">
        <v>126</v>
      </c>
      <c r="R415" t="s">
        <v>81</v>
      </c>
      <c r="S415">
        <v>2.3234730742351776E-2</v>
      </c>
      <c r="T415" t="s">
        <v>77</v>
      </c>
      <c r="V415" t="s">
        <v>146</v>
      </c>
      <c r="W415" t="s">
        <v>81</v>
      </c>
      <c r="X415">
        <v>2.6482905706311701E-2</v>
      </c>
      <c r="Y415" t="s">
        <v>77</v>
      </c>
    </row>
    <row r="416" spans="17:30" x14ac:dyDescent="0.25">
      <c r="Q416" t="s">
        <v>126</v>
      </c>
      <c r="R416" t="s">
        <v>82</v>
      </c>
      <c r="S416">
        <v>2.2407309075420354E-2</v>
      </c>
      <c r="T416" t="s">
        <v>77</v>
      </c>
      <c r="V416" t="s">
        <v>146</v>
      </c>
      <c r="W416" t="s">
        <v>82</v>
      </c>
      <c r="X416">
        <v>2.8002660505884198E-2</v>
      </c>
      <c r="Y416" t="s">
        <v>77</v>
      </c>
    </row>
    <row r="417" spans="17:25" x14ac:dyDescent="0.25">
      <c r="Q417" t="s">
        <v>126</v>
      </c>
      <c r="R417" t="s">
        <v>83</v>
      </c>
      <c r="S417">
        <v>9.4737181616165525E-3</v>
      </c>
      <c r="T417" t="s">
        <v>77</v>
      </c>
      <c r="V417" t="s">
        <v>146</v>
      </c>
      <c r="W417" t="s">
        <v>83</v>
      </c>
      <c r="X417">
        <v>2.880737797603097E-2</v>
      </c>
      <c r="Y417" t="s">
        <v>77</v>
      </c>
    </row>
    <row r="418" spans="17:25" x14ac:dyDescent="0.25">
      <c r="Q418" t="s">
        <v>126</v>
      </c>
      <c r="R418" t="s">
        <v>84</v>
      </c>
      <c r="S418">
        <v>7.2006327193004105E-4</v>
      </c>
      <c r="T418" t="s">
        <v>77</v>
      </c>
      <c r="V418" t="s">
        <v>146</v>
      </c>
      <c r="W418" t="s">
        <v>84</v>
      </c>
      <c r="X418">
        <v>3.0096548869244868E-2</v>
      </c>
      <c r="Y418" t="s">
        <v>77</v>
      </c>
    </row>
    <row r="419" spans="17:25" x14ac:dyDescent="0.25">
      <c r="Q419" t="s">
        <v>126</v>
      </c>
      <c r="R419" t="s">
        <v>85</v>
      </c>
      <c r="S419">
        <v>0</v>
      </c>
      <c r="T419" t="s">
        <v>77</v>
      </c>
      <c r="V419" t="s">
        <v>146</v>
      </c>
      <c r="W419" t="s">
        <v>85</v>
      </c>
      <c r="X419">
        <v>3.0382510489332177E-2</v>
      </c>
      <c r="Y419" t="s">
        <v>77</v>
      </c>
    </row>
    <row r="420" spans="17:25" x14ac:dyDescent="0.25">
      <c r="Q420" t="s">
        <v>126</v>
      </c>
      <c r="R420" t="s">
        <v>86</v>
      </c>
      <c r="S420">
        <v>0</v>
      </c>
      <c r="T420" t="s">
        <v>77</v>
      </c>
      <c r="V420" t="s">
        <v>146</v>
      </c>
      <c r="W420" t="s">
        <v>86</v>
      </c>
      <c r="X420">
        <v>4.2340774031496407E-2</v>
      </c>
      <c r="Y420" t="s">
        <v>77</v>
      </c>
    </row>
    <row r="421" spans="17:25" x14ac:dyDescent="0.25">
      <c r="Q421" t="s">
        <v>126</v>
      </c>
      <c r="R421" t="s">
        <v>87</v>
      </c>
      <c r="S421">
        <v>2.591425465353599E-4</v>
      </c>
      <c r="T421" t="s">
        <v>77</v>
      </c>
      <c r="V421" t="s">
        <v>146</v>
      </c>
      <c r="W421" t="s">
        <v>87</v>
      </c>
      <c r="X421">
        <v>4.8476579655328651E-2</v>
      </c>
      <c r="Y421" t="s">
        <v>77</v>
      </c>
    </row>
    <row r="422" spans="17:25" x14ac:dyDescent="0.25">
      <c r="Q422" t="s">
        <v>126</v>
      </c>
      <c r="R422" t="s">
        <v>88</v>
      </c>
      <c r="S422">
        <v>1.5732195594986047E-2</v>
      </c>
      <c r="T422" t="s">
        <v>77</v>
      </c>
      <c r="V422" t="s">
        <v>146</v>
      </c>
      <c r="W422" t="s">
        <v>88</v>
      </c>
      <c r="X422">
        <v>1.8480567398719276E-2</v>
      </c>
      <c r="Y422" t="s">
        <v>77</v>
      </c>
    </row>
    <row r="423" spans="17:25" x14ac:dyDescent="0.25">
      <c r="Q423" t="s">
        <v>126</v>
      </c>
      <c r="R423" t="s">
        <v>89</v>
      </c>
      <c r="S423">
        <v>5.0555079349228552E-2</v>
      </c>
      <c r="T423" t="s">
        <v>77</v>
      </c>
      <c r="V423" t="s">
        <v>146</v>
      </c>
      <c r="W423" t="s">
        <v>89</v>
      </c>
      <c r="X423">
        <v>1.7343269640733842E-2</v>
      </c>
      <c r="Y423" t="s">
        <v>77</v>
      </c>
    </row>
    <row r="424" spans="17:25" x14ac:dyDescent="0.25">
      <c r="Q424" t="s">
        <v>126</v>
      </c>
      <c r="R424" t="s">
        <v>90</v>
      </c>
      <c r="S424">
        <v>7.2773057620951959E-2</v>
      </c>
      <c r="T424" t="s">
        <v>77</v>
      </c>
      <c r="V424" t="s">
        <v>146</v>
      </c>
      <c r="W424" t="s">
        <v>90</v>
      </c>
      <c r="X424">
        <v>1.7733339365993368E-2</v>
      </c>
      <c r="Y424" t="s">
        <v>77</v>
      </c>
    </row>
    <row r="425" spans="17:25" x14ac:dyDescent="0.25">
      <c r="Q425" t="s">
        <v>126</v>
      </c>
      <c r="R425" t="s">
        <v>91</v>
      </c>
      <c r="S425">
        <v>7.1653448935656991E-2</v>
      </c>
      <c r="T425" t="s">
        <v>77</v>
      </c>
      <c r="V425" t="s">
        <v>146</v>
      </c>
      <c r="W425" t="s">
        <v>91</v>
      </c>
      <c r="X425">
        <v>1.6065938510581735E-2</v>
      </c>
      <c r="Y425" t="s">
        <v>77</v>
      </c>
    </row>
    <row r="426" spans="17:25" x14ac:dyDescent="0.25">
      <c r="Q426" t="s">
        <v>126</v>
      </c>
      <c r="R426" t="s">
        <v>92</v>
      </c>
      <c r="S426">
        <v>6.9685375607143371E-2</v>
      </c>
      <c r="T426" t="s">
        <v>77</v>
      </c>
      <c r="V426" t="s">
        <v>146</v>
      </c>
      <c r="W426" t="s">
        <v>92</v>
      </c>
      <c r="X426">
        <v>1.8761545912110798E-2</v>
      </c>
      <c r="Y426" t="s">
        <v>77</v>
      </c>
    </row>
    <row r="427" spans="17:25" x14ac:dyDescent="0.25">
      <c r="Q427" t="s">
        <v>126</v>
      </c>
      <c r="R427" t="s">
        <v>93</v>
      </c>
      <c r="S427">
        <v>5.5158605736433858E-2</v>
      </c>
      <c r="T427" t="s">
        <v>77</v>
      </c>
      <c r="V427" t="s">
        <v>146</v>
      </c>
      <c r="W427" t="s">
        <v>93</v>
      </c>
      <c r="X427">
        <v>1.8799503038857756E-2</v>
      </c>
      <c r="Y427" t="s">
        <v>77</v>
      </c>
    </row>
    <row r="428" spans="17:25" x14ac:dyDescent="0.25">
      <c r="Q428" t="s">
        <v>126</v>
      </c>
      <c r="R428" t="s">
        <v>94</v>
      </c>
      <c r="S428">
        <v>2.6941839897119544E-2</v>
      </c>
      <c r="T428" t="s">
        <v>77</v>
      </c>
      <c r="V428" t="s">
        <v>146</v>
      </c>
      <c r="W428" t="s">
        <v>94</v>
      </c>
      <c r="X428">
        <v>1.8540807374525181E-2</v>
      </c>
      <c r="Y428" t="s">
        <v>77</v>
      </c>
    </row>
    <row r="429" spans="17:25" x14ac:dyDescent="0.25">
      <c r="Q429" t="s">
        <v>126</v>
      </c>
      <c r="R429" t="s">
        <v>95</v>
      </c>
      <c r="S429">
        <v>2.8187920893682225E-3</v>
      </c>
      <c r="T429" t="s">
        <v>77</v>
      </c>
      <c r="V429" t="s">
        <v>146</v>
      </c>
      <c r="W429" t="s">
        <v>95</v>
      </c>
      <c r="X429">
        <v>2.0280606814493344E-2</v>
      </c>
      <c r="Y429" t="s">
        <v>77</v>
      </c>
    </row>
    <row r="430" spans="17:25" x14ac:dyDescent="0.25">
      <c r="Q430" t="s">
        <v>126</v>
      </c>
      <c r="R430" t="s">
        <v>96</v>
      </c>
      <c r="S430">
        <v>0</v>
      </c>
      <c r="T430" t="s">
        <v>77</v>
      </c>
      <c r="V430" t="s">
        <v>146</v>
      </c>
      <c r="W430" t="s">
        <v>96</v>
      </c>
      <c r="X430">
        <v>3.1029110303077888E-2</v>
      </c>
      <c r="Y430" t="s">
        <v>77</v>
      </c>
    </row>
    <row r="431" spans="17:25" x14ac:dyDescent="0.25">
      <c r="Q431" t="s">
        <v>126</v>
      </c>
      <c r="R431" t="s">
        <v>97</v>
      </c>
      <c r="S431">
        <v>2.0239934906059061E-3</v>
      </c>
      <c r="T431" t="s">
        <v>77</v>
      </c>
      <c r="V431" t="s">
        <v>146</v>
      </c>
      <c r="W431" t="s">
        <v>97</v>
      </c>
      <c r="X431">
        <v>3.4607383183630047E-2</v>
      </c>
      <c r="Y431" t="s">
        <v>77</v>
      </c>
    </row>
    <row r="432" spans="17:25" x14ac:dyDescent="0.25">
      <c r="Q432" t="s">
        <v>126</v>
      </c>
      <c r="R432" t="s">
        <v>98</v>
      </c>
      <c r="S432">
        <v>2.7894451403914E-2</v>
      </c>
      <c r="T432" t="s">
        <v>77</v>
      </c>
      <c r="V432" t="s">
        <v>146</v>
      </c>
      <c r="W432" t="s">
        <v>98</v>
      </c>
      <c r="X432">
        <v>1.3550750068923588E-2</v>
      </c>
      <c r="Y432" t="s">
        <v>77</v>
      </c>
    </row>
    <row r="433" spans="17:25" x14ac:dyDescent="0.25">
      <c r="Q433" t="s">
        <v>126</v>
      </c>
      <c r="R433" t="s">
        <v>99</v>
      </c>
      <c r="S433">
        <v>5.7931243391611938E-2</v>
      </c>
      <c r="T433" t="s">
        <v>77</v>
      </c>
      <c r="V433" t="s">
        <v>146</v>
      </c>
      <c r="W433" t="s">
        <v>99</v>
      </c>
      <c r="X433">
        <v>1.1394516429781846E-2</v>
      </c>
      <c r="Y433" t="s">
        <v>77</v>
      </c>
    </row>
    <row r="434" spans="17:25" x14ac:dyDescent="0.25">
      <c r="Q434" t="s">
        <v>126</v>
      </c>
      <c r="R434" t="s">
        <v>100</v>
      </c>
      <c r="S434">
        <v>7.3020139134052961E-2</v>
      </c>
      <c r="T434" t="s">
        <v>77</v>
      </c>
      <c r="V434" t="s">
        <v>146</v>
      </c>
      <c r="W434" t="s">
        <v>100</v>
      </c>
      <c r="X434">
        <v>1.1645870019424902E-2</v>
      </c>
      <c r="Y434" t="s">
        <v>77</v>
      </c>
    </row>
    <row r="435" spans="17:25" x14ac:dyDescent="0.25">
      <c r="Q435" t="s">
        <v>126</v>
      </c>
      <c r="R435" t="s">
        <v>101</v>
      </c>
      <c r="S435">
        <v>7.3048333904930512E-2</v>
      </c>
      <c r="T435" t="s">
        <v>77</v>
      </c>
      <c r="V435" t="s">
        <v>146</v>
      </c>
      <c r="W435" t="s">
        <v>101</v>
      </c>
      <c r="X435">
        <v>9.3927289988428638E-3</v>
      </c>
      <c r="Y435" t="s">
        <v>77</v>
      </c>
    </row>
    <row r="436" spans="17:25" x14ac:dyDescent="0.25">
      <c r="Q436" t="s">
        <v>126</v>
      </c>
      <c r="R436" t="s">
        <v>102</v>
      </c>
      <c r="S436">
        <v>7.1659977473665135E-2</v>
      </c>
      <c r="T436" t="s">
        <v>77</v>
      </c>
      <c r="V436" t="s">
        <v>146</v>
      </c>
      <c r="W436" t="s">
        <v>102</v>
      </c>
      <c r="X436">
        <v>1.1034968625200918E-2</v>
      </c>
      <c r="Y436" t="s">
        <v>77</v>
      </c>
    </row>
    <row r="437" spans="17:25" x14ac:dyDescent="0.25">
      <c r="Q437" t="s">
        <v>126</v>
      </c>
      <c r="R437" t="s">
        <v>103</v>
      </c>
      <c r="S437">
        <v>6.2220776845145043E-2</v>
      </c>
      <c r="T437" t="s">
        <v>77</v>
      </c>
      <c r="V437" t="s">
        <v>146</v>
      </c>
      <c r="W437" t="s">
        <v>103</v>
      </c>
      <c r="X437">
        <v>1.1446767180883046E-2</v>
      </c>
      <c r="Y437" t="s">
        <v>77</v>
      </c>
    </row>
    <row r="438" spans="17:25" x14ac:dyDescent="0.25">
      <c r="Q438" t="s">
        <v>126</v>
      </c>
      <c r="R438" t="s">
        <v>104</v>
      </c>
      <c r="S438">
        <v>3.99604197716271E-2</v>
      </c>
      <c r="T438" t="s">
        <v>77</v>
      </c>
      <c r="V438" t="s">
        <v>146</v>
      </c>
      <c r="W438" t="s">
        <v>104</v>
      </c>
      <c r="X438">
        <v>1.0115288502362348E-2</v>
      </c>
      <c r="Y438" t="s">
        <v>77</v>
      </c>
    </row>
    <row r="439" spans="17:25" x14ac:dyDescent="0.25">
      <c r="Q439" t="s">
        <v>126</v>
      </c>
      <c r="R439" t="s">
        <v>105</v>
      </c>
      <c r="S439">
        <v>1.0851935010949948E-2</v>
      </c>
      <c r="T439" t="s">
        <v>77</v>
      </c>
      <c r="V439" t="s">
        <v>146</v>
      </c>
      <c r="W439" t="s">
        <v>105</v>
      </c>
      <c r="X439">
        <v>1.1588656851688958E-2</v>
      </c>
      <c r="Y439" t="s">
        <v>77</v>
      </c>
    </row>
    <row r="440" spans="17:25" x14ac:dyDescent="0.25">
      <c r="Q440" t="s">
        <v>126</v>
      </c>
      <c r="R440" t="s">
        <v>106</v>
      </c>
      <c r="S440">
        <v>0</v>
      </c>
      <c r="T440" t="s">
        <v>77</v>
      </c>
      <c r="V440" t="s">
        <v>146</v>
      </c>
      <c r="W440" t="s">
        <v>106</v>
      </c>
      <c r="X440">
        <v>1.9623910782847233E-2</v>
      </c>
      <c r="Y440" t="s">
        <v>77</v>
      </c>
    </row>
    <row r="441" spans="17:25" x14ac:dyDescent="0.25">
      <c r="Q441" t="s">
        <v>126</v>
      </c>
      <c r="R441" t="s">
        <v>107</v>
      </c>
      <c r="S441">
        <v>0</v>
      </c>
      <c r="T441" t="s">
        <v>77</v>
      </c>
      <c r="V441" t="s">
        <v>146</v>
      </c>
      <c r="W441" t="s">
        <v>107</v>
      </c>
      <c r="X441">
        <v>6.100356183634062E-2</v>
      </c>
      <c r="Y441" t="s">
        <v>77</v>
      </c>
    </row>
    <row r="442" spans="17:25" x14ac:dyDescent="0.25">
      <c r="Q442" t="s">
        <v>126</v>
      </c>
      <c r="R442" t="s">
        <v>108</v>
      </c>
      <c r="S442">
        <v>1.5638068904320602E-3</v>
      </c>
      <c r="T442" t="s">
        <v>77</v>
      </c>
      <c r="V442" t="s">
        <v>146</v>
      </c>
      <c r="W442" t="s">
        <v>108</v>
      </c>
      <c r="X442">
        <v>2.6187333221597893E-2</v>
      </c>
      <c r="Y442" t="s">
        <v>77</v>
      </c>
    </row>
    <row r="443" spans="17:25" x14ac:dyDescent="0.25">
      <c r="Q443" t="s">
        <v>126</v>
      </c>
      <c r="R443" t="s">
        <v>109</v>
      </c>
      <c r="S443">
        <v>1.7188246462746883E-2</v>
      </c>
      <c r="T443" t="s">
        <v>77</v>
      </c>
      <c r="V443" t="s">
        <v>146</v>
      </c>
      <c r="W443" t="s">
        <v>109</v>
      </c>
      <c r="X443">
        <v>2.6813264591842006E-2</v>
      </c>
      <c r="Y443" t="s">
        <v>77</v>
      </c>
    </row>
    <row r="444" spans="17:25" x14ac:dyDescent="0.25">
      <c r="Q444" t="s">
        <v>126</v>
      </c>
      <c r="R444" t="s">
        <v>110</v>
      </c>
      <c r="S444">
        <v>3.162383088890966E-2</v>
      </c>
      <c r="T444" t="s">
        <v>77</v>
      </c>
      <c r="V444" t="s">
        <v>146</v>
      </c>
      <c r="W444" t="s">
        <v>110</v>
      </c>
      <c r="X444">
        <v>2.6563777088207285E-2</v>
      </c>
      <c r="Y444" t="s">
        <v>77</v>
      </c>
    </row>
    <row r="445" spans="17:25" x14ac:dyDescent="0.25">
      <c r="Q445" t="s">
        <v>126</v>
      </c>
      <c r="R445" t="s">
        <v>111</v>
      </c>
      <c r="S445">
        <v>3.3524046787809944E-2</v>
      </c>
      <c r="T445" t="s">
        <v>77</v>
      </c>
      <c r="V445" t="s">
        <v>146</v>
      </c>
      <c r="W445" t="s">
        <v>111</v>
      </c>
      <c r="X445">
        <v>2.2693188433682586E-2</v>
      </c>
      <c r="Y445" t="s">
        <v>77</v>
      </c>
    </row>
    <row r="446" spans="17:25" x14ac:dyDescent="0.25">
      <c r="Q446" t="s">
        <v>126</v>
      </c>
      <c r="R446" t="s">
        <v>112</v>
      </c>
      <c r="S446">
        <v>3.2738953398888403E-2</v>
      </c>
      <c r="T446" t="s">
        <v>77</v>
      </c>
      <c r="V446" t="s">
        <v>146</v>
      </c>
      <c r="W446" t="s">
        <v>112</v>
      </c>
      <c r="X446">
        <v>2.2656187971557565E-2</v>
      </c>
      <c r="Y446" t="s">
        <v>77</v>
      </c>
    </row>
    <row r="447" spans="17:25" x14ac:dyDescent="0.25">
      <c r="Q447" t="s">
        <v>126</v>
      </c>
      <c r="R447" t="s">
        <v>113</v>
      </c>
      <c r="S447">
        <v>2.1421330708629064E-2</v>
      </c>
      <c r="T447" t="s">
        <v>77</v>
      </c>
      <c r="V447" t="s">
        <v>146</v>
      </c>
      <c r="W447" t="s">
        <v>113</v>
      </c>
      <c r="X447">
        <v>2.1829180691783117E-2</v>
      </c>
      <c r="Y447" t="s">
        <v>77</v>
      </c>
    </row>
    <row r="448" spans="17:25" x14ac:dyDescent="0.25">
      <c r="Q448" t="s">
        <v>126</v>
      </c>
      <c r="R448" t="s">
        <v>114</v>
      </c>
      <c r="S448">
        <v>5.9640096418165731E-3</v>
      </c>
      <c r="T448" t="s">
        <v>77</v>
      </c>
      <c r="V448" t="s">
        <v>146</v>
      </c>
      <c r="W448" t="s">
        <v>114</v>
      </c>
      <c r="X448">
        <v>2.3041733625472155E-2</v>
      </c>
      <c r="Y448" t="s">
        <v>77</v>
      </c>
    </row>
    <row r="449" spans="17:25" x14ac:dyDescent="0.25">
      <c r="Q449" t="s">
        <v>126</v>
      </c>
      <c r="R449" t="s">
        <v>115</v>
      </c>
      <c r="S449">
        <v>0</v>
      </c>
      <c r="T449" t="s">
        <v>77</v>
      </c>
      <c r="V449" t="s">
        <v>146</v>
      </c>
      <c r="W449" t="s">
        <v>115</v>
      </c>
      <c r="X449">
        <v>2.5273265346712436E-2</v>
      </c>
      <c r="Y449" t="s">
        <v>77</v>
      </c>
    </row>
    <row r="450" spans="17:25" x14ac:dyDescent="0.25">
      <c r="Q450" t="s">
        <v>126</v>
      </c>
      <c r="R450" t="s">
        <v>116</v>
      </c>
      <c r="S450">
        <v>0</v>
      </c>
      <c r="T450" t="s">
        <v>77</v>
      </c>
      <c r="V450" t="s">
        <v>146</v>
      </c>
      <c r="W450" t="s">
        <v>116</v>
      </c>
      <c r="X450">
        <v>3.8020390199029877E-2</v>
      </c>
      <c r="Y450" t="s">
        <v>77</v>
      </c>
    </row>
    <row r="451" spans="17:25" x14ac:dyDescent="0.25">
      <c r="Q451" t="s">
        <v>127</v>
      </c>
      <c r="R451" t="s">
        <v>76</v>
      </c>
      <c r="S451">
        <v>0</v>
      </c>
      <c r="T451" t="s">
        <v>77</v>
      </c>
      <c r="V451" t="s">
        <v>147</v>
      </c>
      <c r="W451" t="s">
        <v>76</v>
      </c>
      <c r="X451">
        <v>6.4403010362439839E-2</v>
      </c>
      <c r="Y451" t="s">
        <v>77</v>
      </c>
    </row>
    <row r="452" spans="17:25" x14ac:dyDescent="0.25">
      <c r="Q452" t="s">
        <v>127</v>
      </c>
      <c r="R452" t="s">
        <v>78</v>
      </c>
      <c r="S452">
        <v>0</v>
      </c>
      <c r="T452" t="s">
        <v>77</v>
      </c>
      <c r="V452" t="s">
        <v>147</v>
      </c>
      <c r="W452" t="s">
        <v>78</v>
      </c>
      <c r="X452">
        <v>2.6498175423239057E-2</v>
      </c>
      <c r="Y452" t="s">
        <v>77</v>
      </c>
    </row>
    <row r="453" spans="17:25" x14ac:dyDescent="0.25">
      <c r="Q453" t="s">
        <v>127</v>
      </c>
      <c r="R453" t="s">
        <v>79</v>
      </c>
      <c r="S453">
        <v>3.1919386499890991E-3</v>
      </c>
      <c r="T453" t="s">
        <v>77</v>
      </c>
      <c r="V453" t="s">
        <v>147</v>
      </c>
      <c r="W453" t="s">
        <v>79</v>
      </c>
      <c r="X453">
        <v>2.7291815653279507E-2</v>
      </c>
      <c r="Y453" t="s">
        <v>77</v>
      </c>
    </row>
    <row r="454" spans="17:25" x14ac:dyDescent="0.25">
      <c r="Q454" t="s">
        <v>127</v>
      </c>
      <c r="R454" t="s">
        <v>80</v>
      </c>
      <c r="S454">
        <v>2.2960293366042162E-2</v>
      </c>
      <c r="T454" t="s">
        <v>77</v>
      </c>
      <c r="V454" t="s">
        <v>147</v>
      </c>
      <c r="W454" t="s">
        <v>80</v>
      </c>
      <c r="X454">
        <v>2.7696057319323661E-2</v>
      </c>
      <c r="Y454" t="s">
        <v>77</v>
      </c>
    </row>
    <row r="455" spans="17:25" x14ac:dyDescent="0.25">
      <c r="Q455" t="s">
        <v>127</v>
      </c>
      <c r="R455" t="s">
        <v>81</v>
      </c>
      <c r="S455">
        <v>3.0333194148844229E-2</v>
      </c>
      <c r="T455" t="s">
        <v>77</v>
      </c>
      <c r="V455" t="s">
        <v>147</v>
      </c>
      <c r="W455" t="s">
        <v>81</v>
      </c>
      <c r="X455">
        <v>2.5979882365494988E-2</v>
      </c>
      <c r="Y455" t="s">
        <v>77</v>
      </c>
    </row>
    <row r="456" spans="17:25" x14ac:dyDescent="0.25">
      <c r="Q456" t="s">
        <v>127</v>
      </c>
      <c r="R456" t="s">
        <v>82</v>
      </c>
      <c r="S456">
        <v>3.1370449200021952E-2</v>
      </c>
      <c r="T456" t="s">
        <v>77</v>
      </c>
      <c r="V456" t="s">
        <v>147</v>
      </c>
      <c r="W456" t="s">
        <v>82</v>
      </c>
      <c r="X456">
        <v>2.5930082674110524E-2</v>
      </c>
      <c r="Y456" t="s">
        <v>77</v>
      </c>
    </row>
    <row r="457" spans="17:25" x14ac:dyDescent="0.25">
      <c r="Q457" t="s">
        <v>127</v>
      </c>
      <c r="R457" t="s">
        <v>83</v>
      </c>
      <c r="S457">
        <v>1.4276936740389908E-2</v>
      </c>
      <c r="T457" t="s">
        <v>77</v>
      </c>
      <c r="V457" t="s">
        <v>147</v>
      </c>
      <c r="W457" t="s">
        <v>83</v>
      </c>
      <c r="X457">
        <v>2.6036725765266246E-2</v>
      </c>
      <c r="Y457" t="s">
        <v>77</v>
      </c>
    </row>
    <row r="458" spans="17:25" x14ac:dyDescent="0.25">
      <c r="Q458" t="s">
        <v>127</v>
      </c>
      <c r="R458" t="s">
        <v>84</v>
      </c>
      <c r="S458">
        <v>9.8027215118461639E-4</v>
      </c>
      <c r="T458" t="s">
        <v>77</v>
      </c>
      <c r="V458" t="s">
        <v>147</v>
      </c>
      <c r="W458" t="s">
        <v>84</v>
      </c>
      <c r="X458">
        <v>2.7789460938308631E-2</v>
      </c>
      <c r="Y458" t="s">
        <v>77</v>
      </c>
    </row>
    <row r="459" spans="17:25" x14ac:dyDescent="0.25">
      <c r="Q459" t="s">
        <v>127</v>
      </c>
      <c r="R459" t="s">
        <v>85</v>
      </c>
      <c r="S459">
        <v>0</v>
      </c>
      <c r="T459" t="s">
        <v>77</v>
      </c>
      <c r="V459" t="s">
        <v>147</v>
      </c>
      <c r="W459" t="s">
        <v>85</v>
      </c>
      <c r="X459">
        <v>2.8470371793645446E-2</v>
      </c>
      <c r="Y459" t="s">
        <v>77</v>
      </c>
    </row>
    <row r="460" spans="17:25" x14ac:dyDescent="0.25">
      <c r="Q460" t="s">
        <v>127</v>
      </c>
      <c r="R460" t="s">
        <v>86</v>
      </c>
      <c r="S460">
        <v>0</v>
      </c>
      <c r="T460" t="s">
        <v>77</v>
      </c>
      <c r="V460" t="s">
        <v>147</v>
      </c>
      <c r="W460" t="s">
        <v>86</v>
      </c>
      <c r="X460">
        <v>4.0452488848517223E-2</v>
      </c>
      <c r="Y460" t="s">
        <v>77</v>
      </c>
    </row>
    <row r="461" spans="17:25" x14ac:dyDescent="0.25">
      <c r="Q461" t="s">
        <v>127</v>
      </c>
      <c r="R461" t="s">
        <v>87</v>
      </c>
      <c r="S461">
        <v>0</v>
      </c>
      <c r="T461" t="s">
        <v>77</v>
      </c>
      <c r="V461" t="s">
        <v>147</v>
      </c>
      <c r="W461" t="s">
        <v>87</v>
      </c>
      <c r="X461">
        <v>5.5440727362598474E-2</v>
      </c>
      <c r="Y461" t="s">
        <v>77</v>
      </c>
    </row>
    <row r="462" spans="17:25" x14ac:dyDescent="0.25">
      <c r="Q462" t="s">
        <v>127</v>
      </c>
      <c r="R462" t="s">
        <v>88</v>
      </c>
      <c r="S462">
        <v>1.2563581167712919E-2</v>
      </c>
      <c r="T462" t="s">
        <v>77</v>
      </c>
      <c r="V462" t="s">
        <v>147</v>
      </c>
      <c r="W462" t="s">
        <v>88</v>
      </c>
      <c r="X462">
        <v>2.0403541939866741E-2</v>
      </c>
      <c r="Y462" t="s">
        <v>77</v>
      </c>
    </row>
    <row r="463" spans="17:25" x14ac:dyDescent="0.25">
      <c r="Q463" t="s">
        <v>127</v>
      </c>
      <c r="R463" t="s">
        <v>89</v>
      </c>
      <c r="S463">
        <v>4.5010203991049623E-2</v>
      </c>
      <c r="T463" t="s">
        <v>77</v>
      </c>
      <c r="V463" t="s">
        <v>147</v>
      </c>
      <c r="W463" t="s">
        <v>89</v>
      </c>
      <c r="X463">
        <v>1.6894993923825902E-2</v>
      </c>
      <c r="Y463" t="s">
        <v>77</v>
      </c>
    </row>
    <row r="464" spans="17:25" x14ac:dyDescent="0.25">
      <c r="Q464" t="s">
        <v>127</v>
      </c>
      <c r="R464" t="s">
        <v>90</v>
      </c>
      <c r="S464">
        <v>6.4517076207052465E-2</v>
      </c>
      <c r="T464" t="s">
        <v>77</v>
      </c>
      <c r="V464" t="s">
        <v>147</v>
      </c>
      <c r="W464" t="s">
        <v>90</v>
      </c>
      <c r="X464">
        <v>1.518685606153157E-2</v>
      </c>
      <c r="Y464" t="s">
        <v>77</v>
      </c>
    </row>
    <row r="465" spans="17:25" x14ac:dyDescent="0.25">
      <c r="Q465" t="s">
        <v>127</v>
      </c>
      <c r="R465" t="s">
        <v>91</v>
      </c>
      <c r="S465">
        <v>6.4476927772845846E-2</v>
      </c>
      <c r="T465" t="s">
        <v>77</v>
      </c>
      <c r="V465" t="s">
        <v>147</v>
      </c>
      <c r="W465" t="s">
        <v>91</v>
      </c>
      <c r="X465">
        <v>1.4682580891910352E-2</v>
      </c>
      <c r="Y465" t="s">
        <v>77</v>
      </c>
    </row>
    <row r="466" spans="17:25" x14ac:dyDescent="0.25">
      <c r="Q466" t="s">
        <v>127</v>
      </c>
      <c r="R466" t="s">
        <v>92</v>
      </c>
      <c r="S466">
        <v>6.1633569347827516E-2</v>
      </c>
      <c r="T466" t="s">
        <v>77</v>
      </c>
      <c r="V466" t="s">
        <v>147</v>
      </c>
      <c r="W466" t="s">
        <v>92</v>
      </c>
      <c r="X466">
        <v>1.7650320500559112E-2</v>
      </c>
      <c r="Y466" t="s">
        <v>77</v>
      </c>
    </row>
    <row r="467" spans="17:25" x14ac:dyDescent="0.25">
      <c r="Q467" t="s">
        <v>127</v>
      </c>
      <c r="R467" t="s">
        <v>93</v>
      </c>
      <c r="S467">
        <v>4.7864142276230245E-2</v>
      </c>
      <c r="T467" t="s">
        <v>77</v>
      </c>
      <c r="V467" t="s">
        <v>147</v>
      </c>
      <c r="W467" t="s">
        <v>93</v>
      </c>
      <c r="X467">
        <v>1.795556432910966E-2</v>
      </c>
      <c r="Y467" t="s">
        <v>77</v>
      </c>
    </row>
    <row r="468" spans="17:25" x14ac:dyDescent="0.25">
      <c r="Q468" t="s">
        <v>127</v>
      </c>
      <c r="R468" t="s">
        <v>94</v>
      </c>
      <c r="S468">
        <v>2.3699868520813624E-2</v>
      </c>
      <c r="T468" t="s">
        <v>77</v>
      </c>
      <c r="V468" t="s">
        <v>147</v>
      </c>
      <c r="W468" t="s">
        <v>94</v>
      </c>
      <c r="X468">
        <v>1.7785952828238766E-2</v>
      </c>
      <c r="Y468" t="s">
        <v>77</v>
      </c>
    </row>
    <row r="469" spans="17:25" x14ac:dyDescent="0.25">
      <c r="Q469" t="s">
        <v>127</v>
      </c>
      <c r="R469" t="s">
        <v>95</v>
      </c>
      <c r="S469">
        <v>1.8305163981733644E-3</v>
      </c>
      <c r="T469" t="s">
        <v>77</v>
      </c>
      <c r="V469" t="s">
        <v>147</v>
      </c>
      <c r="W469" t="s">
        <v>95</v>
      </c>
      <c r="X469">
        <v>2.0801030187854501E-2</v>
      </c>
      <c r="Y469" t="s">
        <v>77</v>
      </c>
    </row>
    <row r="470" spans="17:25" x14ac:dyDescent="0.25">
      <c r="Q470" t="s">
        <v>127</v>
      </c>
      <c r="R470" t="s">
        <v>96</v>
      </c>
      <c r="S470">
        <v>0</v>
      </c>
      <c r="T470" t="s">
        <v>77</v>
      </c>
      <c r="V470" t="s">
        <v>147</v>
      </c>
      <c r="W470" t="s">
        <v>96</v>
      </c>
      <c r="X470">
        <v>3.4556322938130157E-2</v>
      </c>
      <c r="Y470" t="s">
        <v>77</v>
      </c>
    </row>
    <row r="471" spans="17:25" x14ac:dyDescent="0.25">
      <c r="Q471" t="s">
        <v>127</v>
      </c>
      <c r="R471" t="s">
        <v>97</v>
      </c>
      <c r="S471">
        <v>0</v>
      </c>
      <c r="T471" t="s">
        <v>77</v>
      </c>
      <c r="V471" t="s">
        <v>147</v>
      </c>
      <c r="W471" t="s">
        <v>97</v>
      </c>
      <c r="X471">
        <v>3.7034629832650622E-2</v>
      </c>
      <c r="Y471" t="s">
        <v>77</v>
      </c>
    </row>
    <row r="472" spans="17:25" x14ac:dyDescent="0.25">
      <c r="Q472" t="s">
        <v>127</v>
      </c>
      <c r="R472" t="s">
        <v>98</v>
      </c>
      <c r="S472">
        <v>2.3362971050788866E-2</v>
      </c>
      <c r="T472" t="s">
        <v>77</v>
      </c>
      <c r="V472" t="s">
        <v>147</v>
      </c>
      <c r="W472" t="s">
        <v>98</v>
      </c>
      <c r="X472">
        <v>1.3893850908599096E-2</v>
      </c>
      <c r="Y472" t="s">
        <v>77</v>
      </c>
    </row>
    <row r="473" spans="17:25" x14ac:dyDescent="0.25">
      <c r="Q473" t="s">
        <v>127</v>
      </c>
      <c r="R473" t="s">
        <v>99</v>
      </c>
      <c r="S473">
        <v>5.5458343211818639E-2</v>
      </c>
      <c r="T473" t="s">
        <v>77</v>
      </c>
      <c r="V473" t="s">
        <v>147</v>
      </c>
      <c r="W473" t="s">
        <v>99</v>
      </c>
      <c r="X473">
        <v>1.1625939237257797E-2</v>
      </c>
      <c r="Y473" t="s">
        <v>77</v>
      </c>
    </row>
    <row r="474" spans="17:25" x14ac:dyDescent="0.25">
      <c r="Q474" t="s">
        <v>127</v>
      </c>
      <c r="R474" t="s">
        <v>100</v>
      </c>
      <c r="S474">
        <v>7.1064571769262286E-2</v>
      </c>
      <c r="T474" t="s">
        <v>77</v>
      </c>
      <c r="V474" t="s">
        <v>147</v>
      </c>
      <c r="W474" t="s">
        <v>100</v>
      </c>
      <c r="X474">
        <v>1.2745264286122486E-2</v>
      </c>
      <c r="Y474" t="s">
        <v>77</v>
      </c>
    </row>
    <row r="475" spans="17:25" x14ac:dyDescent="0.25">
      <c r="Q475" t="s">
        <v>127</v>
      </c>
      <c r="R475" t="s">
        <v>101</v>
      </c>
      <c r="S475">
        <v>7.182589927764424E-2</v>
      </c>
      <c r="T475" t="s">
        <v>77</v>
      </c>
      <c r="V475" t="s">
        <v>147</v>
      </c>
      <c r="W475" t="s">
        <v>101</v>
      </c>
      <c r="X475">
        <v>1.1881783234160059E-2</v>
      </c>
      <c r="Y475" t="s">
        <v>77</v>
      </c>
    </row>
    <row r="476" spans="17:25" x14ac:dyDescent="0.25">
      <c r="Q476" t="s">
        <v>127</v>
      </c>
      <c r="R476" t="s">
        <v>102</v>
      </c>
      <c r="S476">
        <v>6.8827238385357953E-2</v>
      </c>
      <c r="T476" t="s">
        <v>77</v>
      </c>
      <c r="V476" t="s">
        <v>147</v>
      </c>
      <c r="W476" t="s">
        <v>102</v>
      </c>
      <c r="X476">
        <v>1.3464412236061207E-2</v>
      </c>
      <c r="Y476" t="s">
        <v>77</v>
      </c>
    </row>
    <row r="477" spans="17:25" x14ac:dyDescent="0.25">
      <c r="Q477" t="s">
        <v>127</v>
      </c>
      <c r="R477" t="s">
        <v>103</v>
      </c>
      <c r="S477">
        <v>5.7939641963721006E-2</v>
      </c>
      <c r="T477" t="s">
        <v>77</v>
      </c>
      <c r="V477" t="s">
        <v>147</v>
      </c>
      <c r="W477" t="s">
        <v>103</v>
      </c>
      <c r="X477">
        <v>1.3390530401538909E-2</v>
      </c>
      <c r="Y477" t="s">
        <v>77</v>
      </c>
    </row>
    <row r="478" spans="17:25" x14ac:dyDescent="0.25">
      <c r="Q478" t="s">
        <v>127</v>
      </c>
      <c r="R478" t="s">
        <v>104</v>
      </c>
      <c r="S478">
        <v>3.6444733121291789E-2</v>
      </c>
      <c r="T478" t="s">
        <v>77</v>
      </c>
      <c r="V478" t="s">
        <v>147</v>
      </c>
      <c r="W478" t="s">
        <v>104</v>
      </c>
      <c r="X478">
        <v>1.1884456814167785E-2</v>
      </c>
      <c r="Y478" t="s">
        <v>77</v>
      </c>
    </row>
    <row r="479" spans="17:25" x14ac:dyDescent="0.25">
      <c r="Q479" t="s">
        <v>127</v>
      </c>
      <c r="R479" t="s">
        <v>105</v>
      </c>
      <c r="S479">
        <v>7.1340878639745151E-3</v>
      </c>
      <c r="T479" t="s">
        <v>77</v>
      </c>
      <c r="V479" t="s">
        <v>147</v>
      </c>
      <c r="W479" t="s">
        <v>105</v>
      </c>
      <c r="X479">
        <v>1.2781299178709946E-2</v>
      </c>
      <c r="Y479" t="s">
        <v>77</v>
      </c>
    </row>
    <row r="480" spans="17:25" x14ac:dyDescent="0.25">
      <c r="Q480" t="s">
        <v>127</v>
      </c>
      <c r="R480" t="s">
        <v>106</v>
      </c>
      <c r="S480">
        <v>0</v>
      </c>
      <c r="T480" t="s">
        <v>77</v>
      </c>
      <c r="V480" t="s">
        <v>147</v>
      </c>
      <c r="W480" t="s">
        <v>106</v>
      </c>
      <c r="X480">
        <v>2.3296030187794654E-2</v>
      </c>
      <c r="Y480" t="s">
        <v>77</v>
      </c>
    </row>
    <row r="481" spans="17:25" x14ac:dyDescent="0.25">
      <c r="Q481" t="s">
        <v>127</v>
      </c>
      <c r="R481" t="s">
        <v>107</v>
      </c>
      <c r="S481">
        <v>0</v>
      </c>
      <c r="T481" t="s">
        <v>77</v>
      </c>
      <c r="V481" t="s">
        <v>147</v>
      </c>
      <c r="W481" t="s">
        <v>107</v>
      </c>
      <c r="X481">
        <v>6.0997226733746003E-2</v>
      </c>
      <c r="Y481" t="s">
        <v>77</v>
      </c>
    </row>
    <row r="482" spans="17:25" x14ac:dyDescent="0.25">
      <c r="Q482" t="s">
        <v>127</v>
      </c>
      <c r="R482" t="s">
        <v>108</v>
      </c>
      <c r="S482">
        <v>1.7798050215854591E-3</v>
      </c>
      <c r="T482" t="s">
        <v>77</v>
      </c>
      <c r="V482" t="s">
        <v>147</v>
      </c>
      <c r="W482" t="s">
        <v>108</v>
      </c>
      <c r="X482">
        <v>2.4087398671314594E-2</v>
      </c>
      <c r="Y482" t="s">
        <v>77</v>
      </c>
    </row>
    <row r="483" spans="17:25" x14ac:dyDescent="0.25">
      <c r="Q483" t="s">
        <v>127</v>
      </c>
      <c r="R483" t="s">
        <v>109</v>
      </c>
      <c r="S483">
        <v>2.2420673824904737E-2</v>
      </c>
      <c r="T483" t="s">
        <v>77</v>
      </c>
      <c r="V483" t="s">
        <v>147</v>
      </c>
      <c r="W483" t="s">
        <v>109</v>
      </c>
      <c r="X483">
        <v>2.3777623510902495E-2</v>
      </c>
      <c r="Y483" t="s">
        <v>77</v>
      </c>
    </row>
    <row r="484" spans="17:25" x14ac:dyDescent="0.25">
      <c r="Q484" t="s">
        <v>127</v>
      </c>
      <c r="R484" t="s">
        <v>110</v>
      </c>
      <c r="S484">
        <v>4.1780664850212861E-2</v>
      </c>
      <c r="T484" t="s">
        <v>77</v>
      </c>
      <c r="V484" t="s">
        <v>147</v>
      </c>
      <c r="W484" t="s">
        <v>110</v>
      </c>
      <c r="X484">
        <v>2.2855668600710855E-2</v>
      </c>
      <c r="Y484" t="s">
        <v>77</v>
      </c>
    </row>
    <row r="485" spans="17:25" x14ac:dyDescent="0.25">
      <c r="Q485" t="s">
        <v>127</v>
      </c>
      <c r="R485" t="s">
        <v>111</v>
      </c>
      <c r="S485">
        <v>4.1868660625116953E-2</v>
      </c>
      <c r="T485" t="s">
        <v>77</v>
      </c>
      <c r="V485" t="s">
        <v>147</v>
      </c>
      <c r="W485" t="s">
        <v>111</v>
      </c>
      <c r="X485">
        <v>2.1038114727423379E-2</v>
      </c>
      <c r="Y485" t="s">
        <v>77</v>
      </c>
    </row>
    <row r="486" spans="17:25" x14ac:dyDescent="0.25">
      <c r="Q486" t="s">
        <v>127</v>
      </c>
      <c r="R486" t="s">
        <v>112</v>
      </c>
      <c r="S486">
        <v>4.2171045332864122E-2</v>
      </c>
      <c r="T486" t="s">
        <v>77</v>
      </c>
      <c r="V486" t="s">
        <v>147</v>
      </c>
      <c r="W486" t="s">
        <v>112</v>
      </c>
      <c r="X486">
        <v>2.2217655012177279E-2</v>
      </c>
      <c r="Y486" t="s">
        <v>77</v>
      </c>
    </row>
    <row r="487" spans="17:25" x14ac:dyDescent="0.25">
      <c r="Q487" t="s">
        <v>127</v>
      </c>
      <c r="R487" t="s">
        <v>113</v>
      </c>
      <c r="S487">
        <v>2.6653304610066455E-2</v>
      </c>
      <c r="T487" t="s">
        <v>77</v>
      </c>
      <c r="V487" t="s">
        <v>147</v>
      </c>
      <c r="W487" t="s">
        <v>113</v>
      </c>
      <c r="X487">
        <v>2.2839696455689253E-2</v>
      </c>
      <c r="Y487" t="s">
        <v>77</v>
      </c>
    </row>
    <row r="488" spans="17:25" x14ac:dyDescent="0.25">
      <c r="Q488" t="s">
        <v>127</v>
      </c>
      <c r="R488" t="s">
        <v>114</v>
      </c>
      <c r="S488">
        <v>6.5593891532138206E-3</v>
      </c>
      <c r="T488" t="s">
        <v>77</v>
      </c>
      <c r="V488" t="s">
        <v>147</v>
      </c>
      <c r="W488" t="s">
        <v>114</v>
      </c>
      <c r="X488">
        <v>2.4031734452422716E-2</v>
      </c>
      <c r="Y488" t="s">
        <v>77</v>
      </c>
    </row>
    <row r="489" spans="17:25" x14ac:dyDescent="0.25">
      <c r="Q489" t="s">
        <v>127</v>
      </c>
      <c r="R489" t="s">
        <v>115</v>
      </c>
      <c r="S489">
        <v>0</v>
      </c>
      <c r="T489" t="s">
        <v>77</v>
      </c>
      <c r="V489" t="s">
        <v>147</v>
      </c>
      <c r="W489" t="s">
        <v>115</v>
      </c>
      <c r="X489">
        <v>2.5797193661132218E-2</v>
      </c>
      <c r="Y489" t="s">
        <v>77</v>
      </c>
    </row>
    <row r="490" spans="17:25" x14ac:dyDescent="0.25">
      <c r="Q490" t="s">
        <v>127</v>
      </c>
      <c r="R490" t="s">
        <v>116</v>
      </c>
      <c r="S490">
        <v>0</v>
      </c>
      <c r="T490" t="s">
        <v>77</v>
      </c>
      <c r="V490" t="s">
        <v>147</v>
      </c>
      <c r="W490" t="s">
        <v>116</v>
      </c>
      <c r="X490">
        <v>3.8453529750167706E-2</v>
      </c>
      <c r="Y490" t="s">
        <v>77</v>
      </c>
    </row>
    <row r="491" spans="17:25" x14ac:dyDescent="0.25">
      <c r="Q491" t="s">
        <v>128</v>
      </c>
      <c r="R491" t="s">
        <v>76</v>
      </c>
      <c r="S491">
        <v>0</v>
      </c>
      <c r="T491" t="s">
        <v>77</v>
      </c>
      <c r="V491" t="s">
        <v>148</v>
      </c>
      <c r="W491" t="s">
        <v>76</v>
      </c>
      <c r="X491">
        <v>6.3767242963508192E-2</v>
      </c>
      <c r="Y491" t="s">
        <v>77</v>
      </c>
    </row>
    <row r="492" spans="17:25" x14ac:dyDescent="0.25">
      <c r="Q492" t="s">
        <v>128</v>
      </c>
      <c r="R492" t="s">
        <v>78</v>
      </c>
      <c r="S492">
        <v>0</v>
      </c>
      <c r="T492" t="s">
        <v>77</v>
      </c>
      <c r="V492" t="s">
        <v>148</v>
      </c>
      <c r="W492" t="s">
        <v>78</v>
      </c>
      <c r="X492">
        <v>2.5354480366520313E-2</v>
      </c>
      <c r="Y492" t="s">
        <v>77</v>
      </c>
    </row>
    <row r="493" spans="17:25" x14ac:dyDescent="0.25">
      <c r="Q493" t="s">
        <v>128</v>
      </c>
      <c r="R493" t="s">
        <v>79</v>
      </c>
      <c r="S493">
        <v>2.8388516928711015E-3</v>
      </c>
      <c r="T493" t="s">
        <v>77</v>
      </c>
      <c r="V493" t="s">
        <v>148</v>
      </c>
      <c r="W493" t="s">
        <v>79</v>
      </c>
      <c r="X493">
        <v>2.6143197393449023E-2</v>
      </c>
      <c r="Y493" t="s">
        <v>77</v>
      </c>
    </row>
    <row r="494" spans="17:25" x14ac:dyDescent="0.25">
      <c r="Q494" t="s">
        <v>128</v>
      </c>
      <c r="R494" t="s">
        <v>80</v>
      </c>
      <c r="S494">
        <v>2.0942746416695558E-2</v>
      </c>
      <c r="T494" t="s">
        <v>77</v>
      </c>
      <c r="V494" t="s">
        <v>148</v>
      </c>
      <c r="W494" t="s">
        <v>80</v>
      </c>
      <c r="X494">
        <v>2.6106514504843532E-2</v>
      </c>
      <c r="Y494" t="s">
        <v>77</v>
      </c>
    </row>
    <row r="495" spans="17:25" x14ac:dyDescent="0.25">
      <c r="Q495" t="s">
        <v>128</v>
      </c>
      <c r="R495" t="s">
        <v>81</v>
      </c>
      <c r="S495">
        <v>2.7467383603262667E-2</v>
      </c>
      <c r="T495" t="s">
        <v>77</v>
      </c>
      <c r="V495" t="s">
        <v>148</v>
      </c>
      <c r="W495" t="s">
        <v>81</v>
      </c>
      <c r="X495">
        <v>2.4176446914579847E-2</v>
      </c>
      <c r="Y495" t="s">
        <v>77</v>
      </c>
    </row>
    <row r="496" spans="17:25" x14ac:dyDescent="0.25">
      <c r="Q496" t="s">
        <v>128</v>
      </c>
      <c r="R496" t="s">
        <v>82</v>
      </c>
      <c r="S496">
        <v>2.7647650139593739E-2</v>
      </c>
      <c r="T496" t="s">
        <v>77</v>
      </c>
      <c r="V496" t="s">
        <v>148</v>
      </c>
      <c r="W496" t="s">
        <v>82</v>
      </c>
      <c r="X496">
        <v>2.5229056975051675E-2</v>
      </c>
      <c r="Y496" t="s">
        <v>77</v>
      </c>
    </row>
    <row r="497" spans="17:25" x14ac:dyDescent="0.25">
      <c r="Q497" t="s">
        <v>128</v>
      </c>
      <c r="R497" t="s">
        <v>83</v>
      </c>
      <c r="S497">
        <v>1.1067703372490858E-2</v>
      </c>
      <c r="T497" t="s">
        <v>77</v>
      </c>
      <c r="V497" t="s">
        <v>148</v>
      </c>
      <c r="W497" t="s">
        <v>83</v>
      </c>
      <c r="X497">
        <v>2.6311088615938422E-2</v>
      </c>
      <c r="Y497" t="s">
        <v>77</v>
      </c>
    </row>
    <row r="498" spans="17:25" x14ac:dyDescent="0.25">
      <c r="Q498" t="s">
        <v>128</v>
      </c>
      <c r="R498" t="s">
        <v>84</v>
      </c>
      <c r="S498">
        <v>5.8613068503061364E-4</v>
      </c>
      <c r="T498" t="s">
        <v>77</v>
      </c>
      <c r="V498" t="s">
        <v>148</v>
      </c>
      <c r="W498" t="s">
        <v>84</v>
      </c>
      <c r="X498">
        <v>2.7289020813007655E-2</v>
      </c>
      <c r="Y498" t="s">
        <v>77</v>
      </c>
    </row>
    <row r="499" spans="17:25" x14ac:dyDescent="0.25">
      <c r="Q499" t="s">
        <v>128</v>
      </c>
      <c r="R499" t="s">
        <v>85</v>
      </c>
      <c r="S499">
        <v>0</v>
      </c>
      <c r="T499" t="s">
        <v>77</v>
      </c>
      <c r="V499" t="s">
        <v>148</v>
      </c>
      <c r="W499" t="s">
        <v>85</v>
      </c>
      <c r="X499">
        <v>2.837104483380053E-2</v>
      </c>
      <c r="Y499" t="s">
        <v>77</v>
      </c>
    </row>
    <row r="500" spans="17:25" x14ac:dyDescent="0.25">
      <c r="Q500" t="s">
        <v>128</v>
      </c>
      <c r="R500" t="s">
        <v>86</v>
      </c>
      <c r="S500">
        <v>0</v>
      </c>
      <c r="T500" t="s">
        <v>77</v>
      </c>
      <c r="V500" t="s">
        <v>148</v>
      </c>
      <c r="W500" t="s">
        <v>86</v>
      </c>
      <c r="X500">
        <v>4.080328279262431E-2</v>
      </c>
      <c r="Y500" t="s">
        <v>77</v>
      </c>
    </row>
    <row r="501" spans="17:25" x14ac:dyDescent="0.25">
      <c r="Q501" t="s">
        <v>128</v>
      </c>
      <c r="R501" t="s">
        <v>87</v>
      </c>
      <c r="S501">
        <v>8.3244976152868723E-6</v>
      </c>
      <c r="T501" t="s">
        <v>77</v>
      </c>
      <c r="V501" t="s">
        <v>148</v>
      </c>
      <c r="W501" t="s">
        <v>87</v>
      </c>
      <c r="X501">
        <v>5.8338502803192173E-2</v>
      </c>
      <c r="Y501" t="s">
        <v>77</v>
      </c>
    </row>
    <row r="502" spans="17:25" x14ac:dyDescent="0.25">
      <c r="Q502" t="s">
        <v>128</v>
      </c>
      <c r="R502" t="s">
        <v>88</v>
      </c>
      <c r="S502">
        <v>1.4810727006980294E-2</v>
      </c>
      <c r="T502" t="s">
        <v>77</v>
      </c>
      <c r="V502" t="s">
        <v>148</v>
      </c>
      <c r="W502" t="s">
        <v>88</v>
      </c>
      <c r="X502">
        <v>2.1089659529675394E-2</v>
      </c>
      <c r="Y502" t="s">
        <v>77</v>
      </c>
    </row>
    <row r="503" spans="17:25" x14ac:dyDescent="0.25">
      <c r="Q503" t="s">
        <v>128</v>
      </c>
      <c r="R503" t="s">
        <v>89</v>
      </c>
      <c r="S503">
        <v>4.7974515602783874E-2</v>
      </c>
      <c r="T503" t="s">
        <v>77</v>
      </c>
      <c r="V503" t="s">
        <v>148</v>
      </c>
      <c r="W503" t="s">
        <v>89</v>
      </c>
      <c r="X503">
        <v>1.7698564106859639E-2</v>
      </c>
      <c r="Y503" t="s">
        <v>77</v>
      </c>
    </row>
    <row r="504" spans="17:25" x14ac:dyDescent="0.25">
      <c r="Q504" t="s">
        <v>128</v>
      </c>
      <c r="R504" t="s">
        <v>90</v>
      </c>
      <c r="S504">
        <v>6.6151990040009254E-2</v>
      </c>
      <c r="T504" t="s">
        <v>77</v>
      </c>
      <c r="V504" t="s">
        <v>148</v>
      </c>
      <c r="W504" t="s">
        <v>90</v>
      </c>
      <c r="X504">
        <v>1.6250607169976845E-2</v>
      </c>
      <c r="Y504" t="s">
        <v>77</v>
      </c>
    </row>
    <row r="505" spans="17:25" x14ac:dyDescent="0.25">
      <c r="Q505" t="s">
        <v>128</v>
      </c>
      <c r="R505" t="s">
        <v>91</v>
      </c>
      <c r="S505">
        <v>6.6592662699967609E-2</v>
      </c>
      <c r="T505" t="s">
        <v>77</v>
      </c>
      <c r="V505" t="s">
        <v>148</v>
      </c>
      <c r="W505" t="s">
        <v>91</v>
      </c>
      <c r="X505">
        <v>1.5728378115336807E-2</v>
      </c>
      <c r="Y505" t="s">
        <v>77</v>
      </c>
    </row>
    <row r="506" spans="17:25" x14ac:dyDescent="0.25">
      <c r="Q506" t="s">
        <v>128</v>
      </c>
      <c r="R506" t="s">
        <v>92</v>
      </c>
      <c r="S506">
        <v>6.356497087469426E-2</v>
      </c>
      <c r="T506" t="s">
        <v>77</v>
      </c>
      <c r="V506" t="s">
        <v>148</v>
      </c>
      <c r="W506" t="s">
        <v>92</v>
      </c>
      <c r="X506">
        <v>1.8870866862955384E-2</v>
      </c>
      <c r="Y506" t="s">
        <v>77</v>
      </c>
    </row>
    <row r="507" spans="17:25" x14ac:dyDescent="0.25">
      <c r="Q507" t="s">
        <v>128</v>
      </c>
      <c r="R507" t="s">
        <v>93</v>
      </c>
      <c r="S507">
        <v>4.9935126530415055E-2</v>
      </c>
      <c r="T507" t="s">
        <v>77</v>
      </c>
      <c r="V507" t="s">
        <v>148</v>
      </c>
      <c r="W507" t="s">
        <v>93</v>
      </c>
      <c r="X507">
        <v>1.9612208695518912E-2</v>
      </c>
      <c r="Y507" t="s">
        <v>77</v>
      </c>
    </row>
    <row r="508" spans="17:25" x14ac:dyDescent="0.25">
      <c r="Q508" t="s">
        <v>128</v>
      </c>
      <c r="R508" t="s">
        <v>94</v>
      </c>
      <c r="S508">
        <v>2.4624677055315541E-2</v>
      </c>
      <c r="T508" t="s">
        <v>77</v>
      </c>
      <c r="V508" t="s">
        <v>148</v>
      </c>
      <c r="W508" t="s">
        <v>94</v>
      </c>
      <c r="X508">
        <v>1.8821746490909296E-2</v>
      </c>
      <c r="Y508" t="s">
        <v>77</v>
      </c>
    </row>
    <row r="509" spans="17:25" x14ac:dyDescent="0.25">
      <c r="Q509" t="s">
        <v>128</v>
      </c>
      <c r="R509" t="s">
        <v>95</v>
      </c>
      <c r="S509">
        <v>1.940357338102001E-3</v>
      </c>
      <c r="T509" t="s">
        <v>77</v>
      </c>
      <c r="V509" t="s">
        <v>148</v>
      </c>
      <c r="W509" t="s">
        <v>95</v>
      </c>
      <c r="X509">
        <v>2.2028550480039145E-2</v>
      </c>
      <c r="Y509" t="s">
        <v>77</v>
      </c>
    </row>
    <row r="510" spans="17:25" x14ac:dyDescent="0.25">
      <c r="Q510" t="s">
        <v>128</v>
      </c>
      <c r="R510" t="s">
        <v>96</v>
      </c>
      <c r="S510">
        <v>0</v>
      </c>
      <c r="T510" t="s">
        <v>77</v>
      </c>
      <c r="V510" t="s">
        <v>148</v>
      </c>
      <c r="W510" t="s">
        <v>96</v>
      </c>
      <c r="X510">
        <v>3.612396570016882E-2</v>
      </c>
      <c r="Y510" t="s">
        <v>77</v>
      </c>
    </row>
    <row r="511" spans="17:25" x14ac:dyDescent="0.25">
      <c r="Q511" t="s">
        <v>128</v>
      </c>
      <c r="R511" t="s">
        <v>97</v>
      </c>
      <c r="S511">
        <v>5.7619684891429483E-4</v>
      </c>
      <c r="T511" t="s">
        <v>77</v>
      </c>
      <c r="V511" t="s">
        <v>148</v>
      </c>
      <c r="W511" t="s">
        <v>97</v>
      </c>
      <c r="X511">
        <v>3.8086308625245563E-2</v>
      </c>
      <c r="Y511" t="s">
        <v>77</v>
      </c>
    </row>
    <row r="512" spans="17:25" x14ac:dyDescent="0.25">
      <c r="Q512" t="s">
        <v>128</v>
      </c>
      <c r="R512" t="s">
        <v>98</v>
      </c>
      <c r="S512">
        <v>2.5805190984492618E-2</v>
      </c>
      <c r="T512" t="s">
        <v>77</v>
      </c>
      <c r="V512" t="s">
        <v>148</v>
      </c>
      <c r="W512" t="s">
        <v>98</v>
      </c>
      <c r="X512">
        <v>1.3859128642023441E-2</v>
      </c>
      <c r="Y512" t="s">
        <v>77</v>
      </c>
    </row>
    <row r="513" spans="17:25" x14ac:dyDescent="0.25">
      <c r="Q513" t="s">
        <v>128</v>
      </c>
      <c r="R513" t="s">
        <v>99</v>
      </c>
      <c r="S513">
        <v>5.8630496914084451E-2</v>
      </c>
      <c r="T513" t="s">
        <v>77</v>
      </c>
      <c r="V513" t="s">
        <v>148</v>
      </c>
      <c r="W513" t="s">
        <v>99</v>
      </c>
      <c r="X513">
        <v>1.0799965736085951E-2</v>
      </c>
      <c r="Y513" t="s">
        <v>77</v>
      </c>
    </row>
    <row r="514" spans="17:25" x14ac:dyDescent="0.25">
      <c r="Q514" t="s">
        <v>128</v>
      </c>
      <c r="R514" t="s">
        <v>100</v>
      </c>
      <c r="S514">
        <v>7.3569724616647944E-2</v>
      </c>
      <c r="T514" t="s">
        <v>77</v>
      </c>
      <c r="V514" t="s">
        <v>148</v>
      </c>
      <c r="W514" t="s">
        <v>100</v>
      </c>
      <c r="X514">
        <v>1.1902169190594421E-2</v>
      </c>
      <c r="Y514" t="s">
        <v>77</v>
      </c>
    </row>
    <row r="515" spans="17:25" x14ac:dyDescent="0.25">
      <c r="Q515" t="s">
        <v>128</v>
      </c>
      <c r="R515" t="s">
        <v>101</v>
      </c>
      <c r="S515">
        <v>7.2925720386794665E-2</v>
      </c>
      <c r="T515" t="s">
        <v>77</v>
      </c>
      <c r="V515" t="s">
        <v>148</v>
      </c>
      <c r="W515" t="s">
        <v>101</v>
      </c>
      <c r="X515">
        <v>1.0573507834144829E-2</v>
      </c>
      <c r="Y515" t="s">
        <v>77</v>
      </c>
    </row>
    <row r="516" spans="17:25" x14ac:dyDescent="0.25">
      <c r="Q516" t="s">
        <v>128</v>
      </c>
      <c r="R516" t="s">
        <v>102</v>
      </c>
      <c r="S516">
        <v>6.9579312029439511E-2</v>
      </c>
      <c r="T516" t="s">
        <v>77</v>
      </c>
      <c r="V516" t="s">
        <v>148</v>
      </c>
      <c r="W516" t="s">
        <v>102</v>
      </c>
      <c r="X516">
        <v>1.2003382215468299E-2</v>
      </c>
      <c r="Y516" t="s">
        <v>77</v>
      </c>
    </row>
    <row r="517" spans="17:25" x14ac:dyDescent="0.25">
      <c r="Q517" t="s">
        <v>128</v>
      </c>
      <c r="R517" t="s">
        <v>103</v>
      </c>
      <c r="S517">
        <v>5.8274236828910871E-2</v>
      </c>
      <c r="T517" t="s">
        <v>77</v>
      </c>
      <c r="V517" t="s">
        <v>148</v>
      </c>
      <c r="W517" t="s">
        <v>103</v>
      </c>
      <c r="X517">
        <v>1.2526918153743143E-2</v>
      </c>
      <c r="Y517" t="s">
        <v>77</v>
      </c>
    </row>
    <row r="518" spans="17:25" x14ac:dyDescent="0.25">
      <c r="Q518" t="s">
        <v>128</v>
      </c>
      <c r="R518" t="s">
        <v>104</v>
      </c>
      <c r="S518">
        <v>3.626117793744902E-2</v>
      </c>
      <c r="T518" t="s">
        <v>77</v>
      </c>
      <c r="V518" t="s">
        <v>148</v>
      </c>
      <c r="W518" t="s">
        <v>104</v>
      </c>
      <c r="X518">
        <v>1.1007425253300536E-2</v>
      </c>
      <c r="Y518" t="s">
        <v>77</v>
      </c>
    </row>
    <row r="519" spans="17:25" x14ac:dyDescent="0.25">
      <c r="Q519" t="s">
        <v>128</v>
      </c>
      <c r="R519" t="s">
        <v>105</v>
      </c>
      <c r="S519">
        <v>7.049941110082187E-3</v>
      </c>
      <c r="T519" t="s">
        <v>77</v>
      </c>
      <c r="V519" t="s">
        <v>148</v>
      </c>
      <c r="W519" t="s">
        <v>105</v>
      </c>
      <c r="X519">
        <v>1.2514160992170094E-2</v>
      </c>
      <c r="Y519" t="s">
        <v>77</v>
      </c>
    </row>
    <row r="520" spans="17:25" x14ac:dyDescent="0.25">
      <c r="Q520" t="s">
        <v>128</v>
      </c>
      <c r="R520" t="s">
        <v>106</v>
      </c>
      <c r="S520">
        <v>0</v>
      </c>
      <c r="T520" t="s">
        <v>77</v>
      </c>
      <c r="V520" t="s">
        <v>148</v>
      </c>
      <c r="W520" t="s">
        <v>106</v>
      </c>
      <c r="X520">
        <v>2.3221697615779767E-2</v>
      </c>
      <c r="Y520" t="s">
        <v>77</v>
      </c>
    </row>
    <row r="521" spans="17:25" x14ac:dyDescent="0.25">
      <c r="Q521" t="s">
        <v>128</v>
      </c>
      <c r="R521" t="s">
        <v>107</v>
      </c>
      <c r="S521">
        <v>0</v>
      </c>
      <c r="T521" t="s">
        <v>77</v>
      </c>
      <c r="V521" t="s">
        <v>148</v>
      </c>
      <c r="W521" t="s">
        <v>107</v>
      </c>
      <c r="X521">
        <v>6.0885522474798302E-2</v>
      </c>
      <c r="Y521" t="s">
        <v>77</v>
      </c>
    </row>
    <row r="522" spans="17:25" x14ac:dyDescent="0.25">
      <c r="Q522" t="s">
        <v>128</v>
      </c>
      <c r="R522" t="s">
        <v>108</v>
      </c>
      <c r="S522">
        <v>2.2161968442427262E-3</v>
      </c>
      <c r="T522" t="s">
        <v>77</v>
      </c>
      <c r="V522" t="s">
        <v>148</v>
      </c>
      <c r="W522" t="s">
        <v>108</v>
      </c>
      <c r="X522">
        <v>2.4137065485043907E-2</v>
      </c>
      <c r="Y522" t="s">
        <v>77</v>
      </c>
    </row>
    <row r="523" spans="17:25" x14ac:dyDescent="0.25">
      <c r="Q523" t="s">
        <v>128</v>
      </c>
      <c r="R523" t="s">
        <v>109</v>
      </c>
      <c r="S523">
        <v>2.1442436212418346E-2</v>
      </c>
      <c r="T523" t="s">
        <v>77</v>
      </c>
      <c r="V523" t="s">
        <v>148</v>
      </c>
      <c r="W523" t="s">
        <v>109</v>
      </c>
      <c r="X523">
        <v>2.3458232744773724E-2</v>
      </c>
      <c r="Y523" t="s">
        <v>77</v>
      </c>
    </row>
    <row r="524" spans="17:25" x14ac:dyDescent="0.25">
      <c r="Q524" t="s">
        <v>128</v>
      </c>
      <c r="R524" t="s">
        <v>110</v>
      </c>
      <c r="S524">
        <v>4.0417343360761047E-2</v>
      </c>
      <c r="T524" t="s">
        <v>77</v>
      </c>
      <c r="V524" t="s">
        <v>148</v>
      </c>
      <c r="W524" t="s">
        <v>110</v>
      </c>
      <c r="X524">
        <v>2.226224788380899E-2</v>
      </c>
      <c r="Y524" t="s">
        <v>77</v>
      </c>
    </row>
    <row r="525" spans="17:25" x14ac:dyDescent="0.25">
      <c r="Q525" t="s">
        <v>128</v>
      </c>
      <c r="R525" t="s">
        <v>111</v>
      </c>
      <c r="S525">
        <v>4.0540008922889878E-2</v>
      </c>
      <c r="T525" t="s">
        <v>77</v>
      </c>
      <c r="V525" t="s">
        <v>148</v>
      </c>
      <c r="W525" t="s">
        <v>111</v>
      </c>
      <c r="X525">
        <v>2.0970355068372023E-2</v>
      </c>
      <c r="Y525" t="s">
        <v>77</v>
      </c>
    </row>
    <row r="526" spans="17:25" x14ac:dyDescent="0.25">
      <c r="Q526" t="s">
        <v>128</v>
      </c>
      <c r="R526" t="s">
        <v>112</v>
      </c>
      <c r="S526">
        <v>3.82863093303333E-2</v>
      </c>
      <c r="T526" t="s">
        <v>77</v>
      </c>
      <c r="V526" t="s">
        <v>148</v>
      </c>
      <c r="W526" t="s">
        <v>112</v>
      </c>
      <c r="X526">
        <v>2.1972161465542064E-2</v>
      </c>
      <c r="Y526" t="s">
        <v>77</v>
      </c>
    </row>
    <row r="527" spans="17:25" x14ac:dyDescent="0.25">
      <c r="Q527" t="s">
        <v>128</v>
      </c>
      <c r="R527" t="s">
        <v>113</v>
      </c>
      <c r="S527">
        <v>2.2760612722663668E-2</v>
      </c>
      <c r="T527" t="s">
        <v>77</v>
      </c>
      <c r="V527" t="s">
        <v>148</v>
      </c>
      <c r="W527" t="s">
        <v>113</v>
      </c>
      <c r="X527">
        <v>2.2211990131770217E-2</v>
      </c>
      <c r="Y527" t="s">
        <v>77</v>
      </c>
    </row>
    <row r="528" spans="17:25" x14ac:dyDescent="0.25">
      <c r="Q528" t="s">
        <v>128</v>
      </c>
      <c r="R528" t="s">
        <v>114</v>
      </c>
      <c r="S528">
        <v>5.5112773940484052E-3</v>
      </c>
      <c r="T528" t="s">
        <v>77</v>
      </c>
      <c r="V528" t="s">
        <v>148</v>
      </c>
      <c r="W528" t="s">
        <v>114</v>
      </c>
      <c r="X528">
        <v>2.4073513313771895E-2</v>
      </c>
      <c r="Y528" t="s">
        <v>77</v>
      </c>
    </row>
    <row r="529" spans="17:25" x14ac:dyDescent="0.25">
      <c r="Q529" t="s">
        <v>128</v>
      </c>
      <c r="R529" t="s">
        <v>115</v>
      </c>
      <c r="S529">
        <v>0</v>
      </c>
      <c r="T529" t="s">
        <v>77</v>
      </c>
      <c r="V529" t="s">
        <v>148</v>
      </c>
      <c r="W529" t="s">
        <v>115</v>
      </c>
      <c r="X529">
        <v>2.6257974858677507E-2</v>
      </c>
      <c r="Y529" t="s">
        <v>77</v>
      </c>
    </row>
    <row r="530" spans="17:25" x14ac:dyDescent="0.25">
      <c r="Q530" t="s">
        <v>128</v>
      </c>
      <c r="R530" t="s">
        <v>116</v>
      </c>
      <c r="S530">
        <v>0</v>
      </c>
      <c r="T530" t="s">
        <v>77</v>
      </c>
      <c r="V530" t="s">
        <v>148</v>
      </c>
      <c r="W530" t="s">
        <v>116</v>
      </c>
      <c r="X530">
        <v>3.9161846186928341E-2</v>
      </c>
      <c r="Y530" t="s">
        <v>77</v>
      </c>
    </row>
    <row r="531" spans="17:25" x14ac:dyDescent="0.25">
      <c r="Q531" t="s">
        <v>129</v>
      </c>
      <c r="R531" t="s">
        <v>76</v>
      </c>
      <c r="S531">
        <v>0</v>
      </c>
      <c r="T531" t="s">
        <v>77</v>
      </c>
      <c r="V531" t="s">
        <v>149</v>
      </c>
      <c r="W531" t="s">
        <v>76</v>
      </c>
      <c r="X531">
        <v>6.4208492065878336E-2</v>
      </c>
      <c r="Y531" t="s">
        <v>77</v>
      </c>
    </row>
    <row r="532" spans="17:25" x14ac:dyDescent="0.25">
      <c r="Q532" t="s">
        <v>129</v>
      </c>
      <c r="R532" t="s">
        <v>78</v>
      </c>
      <c r="S532">
        <v>0</v>
      </c>
      <c r="T532" t="s">
        <v>77</v>
      </c>
      <c r="V532" t="s">
        <v>149</v>
      </c>
      <c r="W532" t="s">
        <v>78</v>
      </c>
      <c r="X532">
        <v>2.6138568068958118E-2</v>
      </c>
      <c r="Y532" t="s">
        <v>77</v>
      </c>
    </row>
    <row r="533" spans="17:25" x14ac:dyDescent="0.25">
      <c r="Q533" t="s">
        <v>129</v>
      </c>
      <c r="R533" t="s">
        <v>79</v>
      </c>
      <c r="S533">
        <v>1.5512938878912885E-3</v>
      </c>
      <c r="T533" t="s">
        <v>77</v>
      </c>
      <c r="V533" t="s">
        <v>149</v>
      </c>
      <c r="W533" t="s">
        <v>79</v>
      </c>
      <c r="X533">
        <v>2.6695201360158155E-2</v>
      </c>
      <c r="Y533" t="s">
        <v>77</v>
      </c>
    </row>
    <row r="534" spans="17:25" x14ac:dyDescent="0.25">
      <c r="Q534" t="s">
        <v>129</v>
      </c>
      <c r="R534" t="s">
        <v>80</v>
      </c>
      <c r="S534">
        <v>2.1559163579091711E-2</v>
      </c>
      <c r="T534" t="s">
        <v>77</v>
      </c>
      <c r="V534" t="s">
        <v>149</v>
      </c>
      <c r="W534" t="s">
        <v>80</v>
      </c>
      <c r="X534">
        <v>2.6315624431779608E-2</v>
      </c>
      <c r="Y534" t="s">
        <v>77</v>
      </c>
    </row>
    <row r="535" spans="17:25" x14ac:dyDescent="0.25">
      <c r="Q535" t="s">
        <v>129</v>
      </c>
      <c r="R535" t="s">
        <v>81</v>
      </c>
      <c r="S535">
        <v>3.1711356318882493E-2</v>
      </c>
      <c r="T535" t="s">
        <v>77</v>
      </c>
      <c r="V535" t="s">
        <v>149</v>
      </c>
      <c r="W535" t="s">
        <v>81</v>
      </c>
      <c r="X535">
        <v>2.5311351214270143E-2</v>
      </c>
      <c r="Y535" t="s">
        <v>77</v>
      </c>
    </row>
    <row r="536" spans="17:25" x14ac:dyDescent="0.25">
      <c r="Q536" t="s">
        <v>129</v>
      </c>
      <c r="R536" t="s">
        <v>82</v>
      </c>
      <c r="S536">
        <v>3.3099484180916856E-2</v>
      </c>
      <c r="T536" t="s">
        <v>77</v>
      </c>
      <c r="V536" t="s">
        <v>149</v>
      </c>
      <c r="W536" t="s">
        <v>82</v>
      </c>
      <c r="X536">
        <v>2.5806402470551642E-2</v>
      </c>
      <c r="Y536" t="s">
        <v>77</v>
      </c>
    </row>
    <row r="537" spans="17:25" x14ac:dyDescent="0.25">
      <c r="Q537" t="s">
        <v>129</v>
      </c>
      <c r="R537" t="s">
        <v>83</v>
      </c>
      <c r="S537">
        <v>1.6791129421684588E-2</v>
      </c>
      <c r="T537" t="s">
        <v>77</v>
      </c>
      <c r="V537" t="s">
        <v>149</v>
      </c>
      <c r="W537" t="s">
        <v>83</v>
      </c>
      <c r="X537">
        <v>2.6367997325470516E-2</v>
      </c>
      <c r="Y537" t="s">
        <v>77</v>
      </c>
    </row>
    <row r="538" spans="17:25" x14ac:dyDescent="0.25">
      <c r="Q538" t="s">
        <v>129</v>
      </c>
      <c r="R538" t="s">
        <v>84</v>
      </c>
      <c r="S538">
        <v>1.370904071000884E-3</v>
      </c>
      <c r="T538" t="s">
        <v>77</v>
      </c>
      <c r="V538" t="s">
        <v>149</v>
      </c>
      <c r="W538" t="s">
        <v>84</v>
      </c>
      <c r="X538">
        <v>2.8153660139926418E-2</v>
      </c>
      <c r="Y538" t="s">
        <v>77</v>
      </c>
    </row>
    <row r="539" spans="17:25" x14ac:dyDescent="0.25">
      <c r="Q539" t="s">
        <v>129</v>
      </c>
      <c r="R539" t="s">
        <v>85</v>
      </c>
      <c r="S539">
        <v>0</v>
      </c>
      <c r="T539" t="s">
        <v>77</v>
      </c>
      <c r="V539" t="s">
        <v>149</v>
      </c>
      <c r="W539" t="s">
        <v>85</v>
      </c>
      <c r="X539">
        <v>2.906450217798616E-2</v>
      </c>
      <c r="Y539" t="s">
        <v>77</v>
      </c>
    </row>
    <row r="540" spans="17:25" x14ac:dyDescent="0.25">
      <c r="Q540" t="s">
        <v>129</v>
      </c>
      <c r="R540" t="s">
        <v>86</v>
      </c>
      <c r="S540">
        <v>0</v>
      </c>
      <c r="T540" t="s">
        <v>77</v>
      </c>
      <c r="V540" t="s">
        <v>149</v>
      </c>
      <c r="W540" t="s">
        <v>86</v>
      </c>
      <c r="X540">
        <v>4.11976394183831E-2</v>
      </c>
      <c r="Y540" t="s">
        <v>77</v>
      </c>
    </row>
    <row r="541" spans="17:25" x14ac:dyDescent="0.25">
      <c r="Q541" t="s">
        <v>129</v>
      </c>
      <c r="R541" t="s">
        <v>87</v>
      </c>
      <c r="S541">
        <v>0</v>
      </c>
      <c r="T541" t="s">
        <v>77</v>
      </c>
      <c r="V541" t="s">
        <v>149</v>
      </c>
      <c r="W541" t="s">
        <v>87</v>
      </c>
      <c r="X541">
        <v>5.9105039174701564E-2</v>
      </c>
      <c r="Y541" t="s">
        <v>77</v>
      </c>
    </row>
    <row r="542" spans="17:25" x14ac:dyDescent="0.25">
      <c r="Q542" t="s">
        <v>129</v>
      </c>
      <c r="R542" t="s">
        <v>88</v>
      </c>
      <c r="S542">
        <v>9.7575767429915385E-3</v>
      </c>
      <c r="T542" t="s">
        <v>77</v>
      </c>
      <c r="V542" t="s">
        <v>149</v>
      </c>
      <c r="W542" t="s">
        <v>88</v>
      </c>
      <c r="X542">
        <v>2.29067291481721E-2</v>
      </c>
      <c r="Y542" t="s">
        <v>77</v>
      </c>
    </row>
    <row r="543" spans="17:25" x14ac:dyDescent="0.25">
      <c r="Q543" t="s">
        <v>129</v>
      </c>
      <c r="R543" t="s">
        <v>89</v>
      </c>
      <c r="S543">
        <v>3.9821761754719617E-2</v>
      </c>
      <c r="T543" t="s">
        <v>77</v>
      </c>
      <c r="V543" t="s">
        <v>149</v>
      </c>
      <c r="W543" t="s">
        <v>89</v>
      </c>
      <c r="X543">
        <v>1.9438257573837596E-2</v>
      </c>
      <c r="Y543" t="s">
        <v>77</v>
      </c>
    </row>
    <row r="544" spans="17:25" x14ac:dyDescent="0.25">
      <c r="Q544" t="s">
        <v>129</v>
      </c>
      <c r="R544" t="s">
        <v>90</v>
      </c>
      <c r="S544">
        <v>6.1080768935007218E-2</v>
      </c>
      <c r="T544" t="s">
        <v>77</v>
      </c>
      <c r="V544" t="s">
        <v>149</v>
      </c>
      <c r="W544" t="s">
        <v>90</v>
      </c>
      <c r="X544">
        <v>1.7461013804645511E-2</v>
      </c>
      <c r="Y544" t="s">
        <v>77</v>
      </c>
    </row>
    <row r="545" spans="17:25" x14ac:dyDescent="0.25">
      <c r="Q545" t="s">
        <v>129</v>
      </c>
      <c r="R545" t="s">
        <v>91</v>
      </c>
      <c r="S545">
        <v>6.5174995277874306E-2</v>
      </c>
      <c r="T545" t="s">
        <v>77</v>
      </c>
      <c r="V545" t="s">
        <v>149</v>
      </c>
      <c r="W545" t="s">
        <v>91</v>
      </c>
      <c r="X545">
        <v>1.5707725958228873E-2</v>
      </c>
      <c r="Y545" t="s">
        <v>77</v>
      </c>
    </row>
    <row r="546" spans="17:25" x14ac:dyDescent="0.25">
      <c r="Q546" t="s">
        <v>129</v>
      </c>
      <c r="R546" t="s">
        <v>92</v>
      </c>
      <c r="S546">
        <v>6.2313488956458114E-2</v>
      </c>
      <c r="T546" t="s">
        <v>77</v>
      </c>
      <c r="V546" t="s">
        <v>149</v>
      </c>
      <c r="W546" t="s">
        <v>92</v>
      </c>
      <c r="X546">
        <v>1.8532546424706951E-2</v>
      </c>
      <c r="Y546" t="s">
        <v>77</v>
      </c>
    </row>
    <row r="547" spans="17:25" x14ac:dyDescent="0.25">
      <c r="Q547" t="s">
        <v>129</v>
      </c>
      <c r="R547" t="s">
        <v>93</v>
      </c>
      <c r="S547">
        <v>4.8475625055708085E-2</v>
      </c>
      <c r="T547" t="s">
        <v>77</v>
      </c>
      <c r="V547" t="s">
        <v>149</v>
      </c>
      <c r="W547" t="s">
        <v>93</v>
      </c>
      <c r="X547">
        <v>1.8635544979941479E-2</v>
      </c>
      <c r="Y547" t="s">
        <v>77</v>
      </c>
    </row>
    <row r="548" spans="17:25" x14ac:dyDescent="0.25">
      <c r="Q548" t="s">
        <v>129</v>
      </c>
      <c r="R548" t="s">
        <v>94</v>
      </c>
      <c r="S548">
        <v>2.6485878520460332E-2</v>
      </c>
      <c r="T548" t="s">
        <v>77</v>
      </c>
      <c r="V548" t="s">
        <v>149</v>
      </c>
      <c r="W548" t="s">
        <v>94</v>
      </c>
      <c r="X548">
        <v>1.8464825643044198E-2</v>
      </c>
      <c r="Y548" t="s">
        <v>77</v>
      </c>
    </row>
    <row r="549" spans="17:25" x14ac:dyDescent="0.25">
      <c r="Q549" t="s">
        <v>129</v>
      </c>
      <c r="R549" t="s">
        <v>95</v>
      </c>
      <c r="S549">
        <v>2.7750341327906166E-3</v>
      </c>
      <c r="T549" t="s">
        <v>77</v>
      </c>
      <c r="V549" t="s">
        <v>149</v>
      </c>
      <c r="W549" t="s">
        <v>95</v>
      </c>
      <c r="X549">
        <v>2.2037931377043133E-2</v>
      </c>
      <c r="Y549" t="s">
        <v>77</v>
      </c>
    </row>
    <row r="550" spans="17:25" x14ac:dyDescent="0.25">
      <c r="Q550" t="s">
        <v>129</v>
      </c>
      <c r="R550" t="s">
        <v>96</v>
      </c>
      <c r="S550">
        <v>0</v>
      </c>
      <c r="T550" t="s">
        <v>77</v>
      </c>
      <c r="V550" t="s">
        <v>149</v>
      </c>
      <c r="W550" t="s">
        <v>96</v>
      </c>
      <c r="X550">
        <v>3.6451945734154889E-2</v>
      </c>
      <c r="Y550" t="s">
        <v>77</v>
      </c>
    </row>
    <row r="551" spans="17:25" x14ac:dyDescent="0.25">
      <c r="Q551" t="s">
        <v>129</v>
      </c>
      <c r="R551" t="s">
        <v>97</v>
      </c>
      <c r="S551">
        <v>0</v>
      </c>
      <c r="T551" t="s">
        <v>77</v>
      </c>
      <c r="V551" t="s">
        <v>149</v>
      </c>
      <c r="W551" t="s">
        <v>97</v>
      </c>
      <c r="X551">
        <v>3.23931310500081E-2</v>
      </c>
      <c r="Y551" t="s">
        <v>77</v>
      </c>
    </row>
    <row r="552" spans="17:25" x14ac:dyDescent="0.25">
      <c r="Q552" t="s">
        <v>129</v>
      </c>
      <c r="R552" t="s">
        <v>98</v>
      </c>
      <c r="S552">
        <v>2.0027447407480536E-2</v>
      </c>
      <c r="T552" t="s">
        <v>77</v>
      </c>
      <c r="V552" t="s">
        <v>149</v>
      </c>
      <c r="W552" t="s">
        <v>98</v>
      </c>
      <c r="X552">
        <v>1.2330755706508887E-2</v>
      </c>
      <c r="Y552" t="s">
        <v>77</v>
      </c>
    </row>
    <row r="553" spans="17:25" x14ac:dyDescent="0.25">
      <c r="Q553" t="s">
        <v>129</v>
      </c>
      <c r="R553" t="s">
        <v>99</v>
      </c>
      <c r="S553">
        <v>5.3652959645224957E-2</v>
      </c>
      <c r="T553" t="s">
        <v>77</v>
      </c>
      <c r="V553" t="s">
        <v>149</v>
      </c>
      <c r="W553" t="s">
        <v>99</v>
      </c>
      <c r="X553">
        <v>1.0417937641541785E-2</v>
      </c>
      <c r="Y553" t="s">
        <v>77</v>
      </c>
    </row>
    <row r="554" spans="17:25" x14ac:dyDescent="0.25">
      <c r="Q554" t="s">
        <v>129</v>
      </c>
      <c r="R554" t="s">
        <v>100</v>
      </c>
      <c r="S554">
        <v>7.1912559522939651E-2</v>
      </c>
      <c r="T554" t="s">
        <v>77</v>
      </c>
      <c r="V554" t="s">
        <v>149</v>
      </c>
      <c r="W554" t="s">
        <v>100</v>
      </c>
      <c r="X554">
        <v>1.2078028882976936E-2</v>
      </c>
      <c r="Y554" t="s">
        <v>77</v>
      </c>
    </row>
    <row r="555" spans="17:25" x14ac:dyDescent="0.25">
      <c r="Q555" t="s">
        <v>129</v>
      </c>
      <c r="R555" t="s">
        <v>101</v>
      </c>
      <c r="S555">
        <v>7.2405646334621654E-2</v>
      </c>
      <c r="T555" t="s">
        <v>77</v>
      </c>
      <c r="V555" t="s">
        <v>149</v>
      </c>
      <c r="W555" t="s">
        <v>101</v>
      </c>
      <c r="X555">
        <v>1.1502706305845396E-2</v>
      </c>
      <c r="Y555" t="s">
        <v>77</v>
      </c>
    </row>
    <row r="556" spans="17:25" x14ac:dyDescent="0.25">
      <c r="Q556" t="s">
        <v>129</v>
      </c>
      <c r="R556" t="s">
        <v>102</v>
      </c>
      <c r="S556">
        <v>6.8590687543496648E-2</v>
      </c>
      <c r="T556" t="s">
        <v>77</v>
      </c>
      <c r="V556" t="s">
        <v>149</v>
      </c>
      <c r="W556" t="s">
        <v>102</v>
      </c>
      <c r="X556">
        <v>1.3181735497663409E-2</v>
      </c>
      <c r="Y556" t="s">
        <v>77</v>
      </c>
    </row>
    <row r="557" spans="17:25" x14ac:dyDescent="0.25">
      <c r="Q557" t="s">
        <v>129</v>
      </c>
      <c r="R557" t="s">
        <v>103</v>
      </c>
      <c r="S557">
        <v>5.8643308317479714E-2</v>
      </c>
      <c r="T557" t="s">
        <v>77</v>
      </c>
      <c r="V557" t="s">
        <v>149</v>
      </c>
      <c r="W557" t="s">
        <v>103</v>
      </c>
      <c r="X557">
        <v>1.3701216327842146E-2</v>
      </c>
      <c r="Y557" t="s">
        <v>77</v>
      </c>
    </row>
    <row r="558" spans="17:25" x14ac:dyDescent="0.25">
      <c r="Q558" t="s">
        <v>129</v>
      </c>
      <c r="R558" t="s">
        <v>104</v>
      </c>
      <c r="S558">
        <v>3.7583165826316732E-2</v>
      </c>
      <c r="T558" t="s">
        <v>77</v>
      </c>
      <c r="V558" t="s">
        <v>149</v>
      </c>
      <c r="W558" t="s">
        <v>104</v>
      </c>
      <c r="X558">
        <v>1.2406926519444018E-2</v>
      </c>
      <c r="Y558" t="s">
        <v>77</v>
      </c>
    </row>
    <row r="559" spans="17:25" x14ac:dyDescent="0.25">
      <c r="Q559" t="s">
        <v>129</v>
      </c>
      <c r="R559" t="s">
        <v>105</v>
      </c>
      <c r="S559">
        <v>9.6812128082002132E-3</v>
      </c>
      <c r="T559" t="s">
        <v>77</v>
      </c>
      <c r="V559" t="s">
        <v>149</v>
      </c>
      <c r="W559" t="s">
        <v>105</v>
      </c>
      <c r="X559">
        <v>1.3618013314237372E-2</v>
      </c>
      <c r="Y559" t="s">
        <v>77</v>
      </c>
    </row>
    <row r="560" spans="17:25" x14ac:dyDescent="0.25">
      <c r="Q560" t="s">
        <v>129</v>
      </c>
      <c r="R560" t="s">
        <v>106</v>
      </c>
      <c r="S560">
        <v>0</v>
      </c>
      <c r="T560" t="s">
        <v>77</v>
      </c>
      <c r="V560" t="s">
        <v>149</v>
      </c>
      <c r="W560" t="s">
        <v>106</v>
      </c>
      <c r="X560">
        <v>2.2346622548082885E-2</v>
      </c>
      <c r="Y560" t="s">
        <v>77</v>
      </c>
    </row>
    <row r="561" spans="17:25" x14ac:dyDescent="0.25">
      <c r="Q561" t="s">
        <v>129</v>
      </c>
      <c r="R561" t="s">
        <v>107</v>
      </c>
      <c r="S561">
        <v>0</v>
      </c>
      <c r="T561" t="s">
        <v>77</v>
      </c>
      <c r="V561" t="s">
        <v>149</v>
      </c>
      <c r="W561" t="s">
        <v>107</v>
      </c>
      <c r="X561">
        <v>5.6733552802947083E-2</v>
      </c>
      <c r="Y561" t="s">
        <v>77</v>
      </c>
    </row>
    <row r="562" spans="17:25" x14ac:dyDescent="0.25">
      <c r="Q562" t="s">
        <v>129</v>
      </c>
      <c r="R562" t="s">
        <v>108</v>
      </c>
      <c r="S562">
        <v>1.2064252547909413E-3</v>
      </c>
      <c r="T562" t="s">
        <v>77</v>
      </c>
      <c r="V562" t="s">
        <v>149</v>
      </c>
      <c r="W562" t="s">
        <v>108</v>
      </c>
      <c r="X562">
        <v>2.2363773411277748E-2</v>
      </c>
      <c r="Y562" t="s">
        <v>77</v>
      </c>
    </row>
    <row r="563" spans="17:25" x14ac:dyDescent="0.25">
      <c r="Q563" t="s">
        <v>129</v>
      </c>
      <c r="R563" t="s">
        <v>109</v>
      </c>
      <c r="S563">
        <v>1.9811130511514809E-2</v>
      </c>
      <c r="T563" t="s">
        <v>77</v>
      </c>
      <c r="V563" t="s">
        <v>149</v>
      </c>
      <c r="W563" t="s">
        <v>109</v>
      </c>
      <c r="X563">
        <v>2.225093493822021E-2</v>
      </c>
      <c r="Y563" t="s">
        <v>77</v>
      </c>
    </row>
    <row r="564" spans="17:25" x14ac:dyDescent="0.25">
      <c r="Q564" t="s">
        <v>129</v>
      </c>
      <c r="R564" t="s">
        <v>110</v>
      </c>
      <c r="S564">
        <v>3.9565790114001978E-2</v>
      </c>
      <c r="T564" t="s">
        <v>77</v>
      </c>
      <c r="V564" t="s">
        <v>149</v>
      </c>
      <c r="W564" t="s">
        <v>110</v>
      </c>
      <c r="X564">
        <v>2.1295980313785573E-2</v>
      </c>
      <c r="Y564" t="s">
        <v>77</v>
      </c>
    </row>
    <row r="565" spans="17:25" x14ac:dyDescent="0.25">
      <c r="Q565" t="s">
        <v>129</v>
      </c>
      <c r="R565" t="s">
        <v>111</v>
      </c>
      <c r="S565">
        <v>4.2655551260689997E-2</v>
      </c>
      <c r="T565" t="s">
        <v>77</v>
      </c>
      <c r="V565" t="s">
        <v>149</v>
      </c>
      <c r="W565" t="s">
        <v>111</v>
      </c>
      <c r="X565">
        <v>2.1288619278517041E-2</v>
      </c>
      <c r="Y565" t="s">
        <v>77</v>
      </c>
    </row>
    <row r="566" spans="17:25" x14ac:dyDescent="0.25">
      <c r="Q566" t="s">
        <v>129</v>
      </c>
      <c r="R566" t="s">
        <v>112</v>
      </c>
      <c r="S566">
        <v>4.4262834541985242E-2</v>
      </c>
      <c r="T566" t="s">
        <v>77</v>
      </c>
      <c r="V566" t="s">
        <v>149</v>
      </c>
      <c r="W566" t="s">
        <v>112</v>
      </c>
      <c r="X566">
        <v>2.2534611668482665E-2</v>
      </c>
      <c r="Y566" t="s">
        <v>77</v>
      </c>
    </row>
    <row r="567" spans="17:25" x14ac:dyDescent="0.25">
      <c r="Q567" t="s">
        <v>129</v>
      </c>
      <c r="R567" t="s">
        <v>113</v>
      </c>
      <c r="S567">
        <v>3.018559541136959E-2</v>
      </c>
      <c r="T567" t="s">
        <v>77</v>
      </c>
      <c r="V567" t="s">
        <v>149</v>
      </c>
      <c r="W567" t="s">
        <v>113</v>
      </c>
      <c r="X567">
        <v>2.2781725980161704E-2</v>
      </c>
      <c r="Y567" t="s">
        <v>77</v>
      </c>
    </row>
    <row r="568" spans="17:25" x14ac:dyDescent="0.25">
      <c r="Q568" t="s">
        <v>129</v>
      </c>
      <c r="R568" t="s">
        <v>114</v>
      </c>
      <c r="S568">
        <v>7.8472246644067482E-3</v>
      </c>
      <c r="T568" t="s">
        <v>77</v>
      </c>
      <c r="V568" t="s">
        <v>149</v>
      </c>
      <c r="W568" t="s">
        <v>114</v>
      </c>
      <c r="X568">
        <v>2.4845997796699847E-2</v>
      </c>
      <c r="Y568" t="s">
        <v>77</v>
      </c>
    </row>
    <row r="569" spans="17:25" x14ac:dyDescent="0.25">
      <c r="Q569" t="s">
        <v>129</v>
      </c>
      <c r="R569" t="s">
        <v>115</v>
      </c>
      <c r="S569">
        <v>0</v>
      </c>
      <c r="T569" t="s">
        <v>77</v>
      </c>
      <c r="V569" t="s">
        <v>149</v>
      </c>
      <c r="W569" t="s">
        <v>115</v>
      </c>
      <c r="X569">
        <v>2.6140672277387537E-2</v>
      </c>
      <c r="Y569" t="s">
        <v>77</v>
      </c>
    </row>
    <row r="570" spans="17:25" x14ac:dyDescent="0.25">
      <c r="Q570" t="s">
        <v>129</v>
      </c>
      <c r="R570" t="s">
        <v>116</v>
      </c>
      <c r="S570">
        <v>0</v>
      </c>
      <c r="T570" t="s">
        <v>77</v>
      </c>
      <c r="V570" t="s">
        <v>149</v>
      </c>
      <c r="W570" t="s">
        <v>116</v>
      </c>
      <c r="X570">
        <v>3.7786059246534068E-2</v>
      </c>
      <c r="Y570" t="s">
        <v>77</v>
      </c>
    </row>
    <row r="571" spans="17:25" x14ac:dyDescent="0.25">
      <c r="Q571" t="s">
        <v>130</v>
      </c>
      <c r="R571" t="s">
        <v>76</v>
      </c>
      <c r="S571">
        <v>0</v>
      </c>
      <c r="T571" t="s">
        <v>77</v>
      </c>
      <c r="V571" t="s">
        <v>150</v>
      </c>
      <c r="W571" t="s">
        <v>76</v>
      </c>
      <c r="X571">
        <v>7.9990655646533682E-2</v>
      </c>
      <c r="Y571" t="s">
        <v>77</v>
      </c>
    </row>
    <row r="572" spans="17:25" x14ac:dyDescent="0.25">
      <c r="Q572" t="s">
        <v>130</v>
      </c>
      <c r="R572" t="s">
        <v>78</v>
      </c>
      <c r="S572">
        <v>0</v>
      </c>
      <c r="T572" t="s">
        <v>77</v>
      </c>
      <c r="V572" t="s">
        <v>150</v>
      </c>
      <c r="W572" t="s">
        <v>78</v>
      </c>
      <c r="X572">
        <v>3.269939717221991E-2</v>
      </c>
      <c r="Y572" t="s">
        <v>77</v>
      </c>
    </row>
    <row r="573" spans="17:25" x14ac:dyDescent="0.25">
      <c r="Q573" t="s">
        <v>130</v>
      </c>
      <c r="R573" t="s">
        <v>79</v>
      </c>
      <c r="S573">
        <v>8.7451754117986915E-4</v>
      </c>
      <c r="T573" t="s">
        <v>77</v>
      </c>
      <c r="V573" t="s">
        <v>150</v>
      </c>
      <c r="W573" t="s">
        <v>79</v>
      </c>
      <c r="X573">
        <v>3.2199646632134309E-2</v>
      </c>
      <c r="Y573" t="s">
        <v>77</v>
      </c>
    </row>
    <row r="574" spans="17:25" x14ac:dyDescent="0.25">
      <c r="Q574" t="s">
        <v>130</v>
      </c>
      <c r="R574" t="s">
        <v>80</v>
      </c>
      <c r="S574">
        <v>1.8310539649679217E-2</v>
      </c>
      <c r="T574" t="s">
        <v>77</v>
      </c>
      <c r="V574" t="s">
        <v>150</v>
      </c>
      <c r="W574" t="s">
        <v>80</v>
      </c>
      <c r="X574">
        <v>3.1995354131462539E-2</v>
      </c>
      <c r="Y574" t="s">
        <v>77</v>
      </c>
    </row>
    <row r="575" spans="17:25" x14ac:dyDescent="0.25">
      <c r="Q575" t="s">
        <v>130</v>
      </c>
      <c r="R575" t="s">
        <v>81</v>
      </c>
      <c r="S575">
        <v>2.8597749036780185E-2</v>
      </c>
      <c r="T575" t="s">
        <v>77</v>
      </c>
      <c r="V575" t="s">
        <v>150</v>
      </c>
      <c r="W575" t="s">
        <v>81</v>
      </c>
      <c r="X575">
        <v>2.9502484298778501E-2</v>
      </c>
      <c r="Y575" t="s">
        <v>77</v>
      </c>
    </row>
    <row r="576" spans="17:25" x14ac:dyDescent="0.25">
      <c r="Q576" t="s">
        <v>130</v>
      </c>
      <c r="R576" t="s">
        <v>82</v>
      </c>
      <c r="S576">
        <v>2.9675451541655903E-2</v>
      </c>
      <c r="T576" t="s">
        <v>77</v>
      </c>
      <c r="V576" t="s">
        <v>150</v>
      </c>
      <c r="W576" t="s">
        <v>82</v>
      </c>
      <c r="X576">
        <v>3.2551526809360222E-2</v>
      </c>
      <c r="Y576" t="s">
        <v>77</v>
      </c>
    </row>
    <row r="577" spans="17:25" x14ac:dyDescent="0.25">
      <c r="Q577" t="s">
        <v>130</v>
      </c>
      <c r="R577" t="s">
        <v>83</v>
      </c>
      <c r="S577">
        <v>1.5044021405099844E-2</v>
      </c>
      <c r="T577" t="s">
        <v>77</v>
      </c>
      <c r="V577" t="s">
        <v>150</v>
      </c>
      <c r="W577" t="s">
        <v>83</v>
      </c>
      <c r="X577">
        <v>3.3610744078111987E-2</v>
      </c>
      <c r="Y577" t="s">
        <v>77</v>
      </c>
    </row>
    <row r="578" spans="17:25" x14ac:dyDescent="0.25">
      <c r="Q578" t="s">
        <v>130</v>
      </c>
      <c r="R578" t="s">
        <v>84</v>
      </c>
      <c r="S578">
        <v>1.1085302707623586E-3</v>
      </c>
      <c r="T578" t="s">
        <v>77</v>
      </c>
      <c r="V578" t="s">
        <v>150</v>
      </c>
      <c r="W578" t="s">
        <v>84</v>
      </c>
      <c r="X578">
        <v>3.3796289075635089E-2</v>
      </c>
      <c r="Y578" t="s">
        <v>77</v>
      </c>
    </row>
    <row r="579" spans="17:25" x14ac:dyDescent="0.25">
      <c r="Q579" t="s">
        <v>130</v>
      </c>
      <c r="R579" t="s">
        <v>85</v>
      </c>
      <c r="S579">
        <v>0</v>
      </c>
      <c r="T579" t="s">
        <v>77</v>
      </c>
      <c r="V579" t="s">
        <v>150</v>
      </c>
      <c r="W579" t="s">
        <v>85</v>
      </c>
      <c r="X579">
        <v>3.3266121922321715E-2</v>
      </c>
      <c r="Y579" t="s">
        <v>77</v>
      </c>
    </row>
    <row r="580" spans="17:25" x14ac:dyDescent="0.25">
      <c r="Q580" t="s">
        <v>130</v>
      </c>
      <c r="R580" t="s">
        <v>86</v>
      </c>
      <c r="S580">
        <v>0</v>
      </c>
      <c r="T580" t="s">
        <v>77</v>
      </c>
      <c r="V580" t="s">
        <v>150</v>
      </c>
      <c r="W580" t="s">
        <v>86</v>
      </c>
      <c r="X580">
        <v>4.6680780803700195E-2</v>
      </c>
      <c r="Y580" t="s">
        <v>77</v>
      </c>
    </row>
    <row r="581" spans="17:25" x14ac:dyDescent="0.25">
      <c r="Q581" t="s">
        <v>130</v>
      </c>
      <c r="R581" t="s">
        <v>87</v>
      </c>
      <c r="S581">
        <v>0</v>
      </c>
      <c r="T581" t="s">
        <v>77</v>
      </c>
      <c r="V581" t="s">
        <v>150</v>
      </c>
      <c r="W581" t="s">
        <v>87</v>
      </c>
      <c r="X581">
        <v>4.5249853516649889E-2</v>
      </c>
      <c r="Y581" t="s">
        <v>77</v>
      </c>
    </row>
    <row r="582" spans="17:25" x14ac:dyDescent="0.25">
      <c r="Q582" t="s">
        <v>130</v>
      </c>
      <c r="R582" t="s">
        <v>88</v>
      </c>
      <c r="S582">
        <v>9.648128112914104E-3</v>
      </c>
      <c r="T582" t="s">
        <v>77</v>
      </c>
      <c r="V582" t="s">
        <v>150</v>
      </c>
      <c r="W582" t="s">
        <v>88</v>
      </c>
      <c r="X582">
        <v>1.7998672872456777E-2</v>
      </c>
      <c r="Y582" t="s">
        <v>77</v>
      </c>
    </row>
    <row r="583" spans="17:25" x14ac:dyDescent="0.25">
      <c r="Q583" t="s">
        <v>130</v>
      </c>
      <c r="R583" t="s">
        <v>89</v>
      </c>
      <c r="S583">
        <v>3.9252739858413481E-2</v>
      </c>
      <c r="T583" t="s">
        <v>77</v>
      </c>
      <c r="V583" t="s">
        <v>150</v>
      </c>
      <c r="W583" t="s">
        <v>89</v>
      </c>
      <c r="X583">
        <v>1.7146210234201782E-2</v>
      </c>
      <c r="Y583" t="s">
        <v>77</v>
      </c>
    </row>
    <row r="584" spans="17:25" x14ac:dyDescent="0.25">
      <c r="Q584" t="s">
        <v>130</v>
      </c>
      <c r="R584" t="s">
        <v>90</v>
      </c>
      <c r="S584">
        <v>5.9587405043376694E-2</v>
      </c>
      <c r="T584" t="s">
        <v>77</v>
      </c>
      <c r="V584" t="s">
        <v>150</v>
      </c>
      <c r="W584" t="s">
        <v>90</v>
      </c>
      <c r="X584">
        <v>1.9380803659095485E-2</v>
      </c>
      <c r="Y584" t="s">
        <v>77</v>
      </c>
    </row>
    <row r="585" spans="17:25" x14ac:dyDescent="0.25">
      <c r="Q585" t="s">
        <v>130</v>
      </c>
      <c r="R585" t="s">
        <v>91</v>
      </c>
      <c r="S585">
        <v>6.4345321646984907E-2</v>
      </c>
      <c r="T585" t="s">
        <v>77</v>
      </c>
      <c r="V585" t="s">
        <v>150</v>
      </c>
      <c r="W585" t="s">
        <v>91</v>
      </c>
      <c r="X585">
        <v>1.9663325524995636E-2</v>
      </c>
      <c r="Y585" t="s">
        <v>77</v>
      </c>
    </row>
    <row r="586" spans="17:25" x14ac:dyDescent="0.25">
      <c r="Q586" t="s">
        <v>130</v>
      </c>
      <c r="R586" t="s">
        <v>92</v>
      </c>
      <c r="S586">
        <v>6.1558564738298599E-2</v>
      </c>
      <c r="T586" t="s">
        <v>77</v>
      </c>
      <c r="V586" t="s">
        <v>150</v>
      </c>
      <c r="W586" t="s">
        <v>92</v>
      </c>
      <c r="X586">
        <v>2.5301473133232215E-2</v>
      </c>
      <c r="Y586" t="s">
        <v>77</v>
      </c>
    </row>
    <row r="587" spans="17:25" x14ac:dyDescent="0.25">
      <c r="Q587" t="s">
        <v>130</v>
      </c>
      <c r="R587" t="s">
        <v>93</v>
      </c>
      <c r="S587">
        <v>5.0325462343133461E-2</v>
      </c>
      <c r="T587" t="s">
        <v>77</v>
      </c>
      <c r="V587" t="s">
        <v>150</v>
      </c>
      <c r="W587" t="s">
        <v>93</v>
      </c>
      <c r="X587">
        <v>2.6117256848207957E-2</v>
      </c>
      <c r="Y587" t="s">
        <v>77</v>
      </c>
    </row>
    <row r="588" spans="17:25" x14ac:dyDescent="0.25">
      <c r="Q588" t="s">
        <v>130</v>
      </c>
      <c r="R588" t="s">
        <v>94</v>
      </c>
      <c r="S588">
        <v>2.7306114643982072E-2</v>
      </c>
      <c r="T588" t="s">
        <v>77</v>
      </c>
      <c r="V588" t="s">
        <v>150</v>
      </c>
      <c r="W588" t="s">
        <v>94</v>
      </c>
      <c r="X588">
        <v>2.2697566630582394E-2</v>
      </c>
      <c r="Y588" t="s">
        <v>77</v>
      </c>
    </row>
    <row r="589" spans="17:25" x14ac:dyDescent="0.25">
      <c r="Q589" t="s">
        <v>130</v>
      </c>
      <c r="R589" t="s">
        <v>95</v>
      </c>
      <c r="S589">
        <v>3.2487163123934371E-3</v>
      </c>
      <c r="T589" t="s">
        <v>77</v>
      </c>
      <c r="V589" t="s">
        <v>150</v>
      </c>
      <c r="W589" t="s">
        <v>95</v>
      </c>
      <c r="X589">
        <v>2.0992820881755164E-2</v>
      </c>
      <c r="Y589" t="s">
        <v>77</v>
      </c>
    </row>
    <row r="590" spans="17:25" x14ac:dyDescent="0.25">
      <c r="Q590" t="s">
        <v>130</v>
      </c>
      <c r="R590" t="s">
        <v>96</v>
      </c>
      <c r="S590">
        <v>0</v>
      </c>
      <c r="T590" t="s">
        <v>77</v>
      </c>
      <c r="V590" t="s">
        <v>150</v>
      </c>
      <c r="W590" t="s">
        <v>96</v>
      </c>
      <c r="X590">
        <v>2.803313380849657E-2</v>
      </c>
      <c r="Y590" t="s">
        <v>77</v>
      </c>
    </row>
    <row r="591" spans="17:25" x14ac:dyDescent="0.25">
      <c r="Q591" t="s">
        <v>130</v>
      </c>
      <c r="R591" t="s">
        <v>97</v>
      </c>
      <c r="S591">
        <v>0</v>
      </c>
      <c r="T591" t="s">
        <v>77</v>
      </c>
      <c r="V591" t="s">
        <v>150</v>
      </c>
      <c r="W591" t="s">
        <v>97</v>
      </c>
      <c r="X591">
        <v>1.2682514789438798E-2</v>
      </c>
      <c r="Y591" t="s">
        <v>77</v>
      </c>
    </row>
    <row r="592" spans="17:25" x14ac:dyDescent="0.25">
      <c r="Q592" t="s">
        <v>130</v>
      </c>
      <c r="R592" t="s">
        <v>98</v>
      </c>
      <c r="S592">
        <v>1.9363742249864035E-2</v>
      </c>
      <c r="T592" t="s">
        <v>77</v>
      </c>
      <c r="V592" t="s">
        <v>150</v>
      </c>
      <c r="W592" t="s">
        <v>98</v>
      </c>
      <c r="X592">
        <v>5.7307486889348362E-3</v>
      </c>
      <c r="Y592" t="s">
        <v>77</v>
      </c>
    </row>
    <row r="593" spans="17:25" x14ac:dyDescent="0.25">
      <c r="Q593" t="s">
        <v>130</v>
      </c>
      <c r="R593" t="s">
        <v>99</v>
      </c>
      <c r="S593">
        <v>5.4159278152044001E-2</v>
      </c>
      <c r="T593" t="s">
        <v>77</v>
      </c>
      <c r="V593" t="s">
        <v>150</v>
      </c>
      <c r="W593" t="s">
        <v>99</v>
      </c>
      <c r="X593">
        <v>6.4790290443958098E-3</v>
      </c>
      <c r="Y593" t="s">
        <v>77</v>
      </c>
    </row>
    <row r="594" spans="17:25" x14ac:dyDescent="0.25">
      <c r="Q594" t="s">
        <v>130</v>
      </c>
      <c r="R594" t="s">
        <v>100</v>
      </c>
      <c r="S594">
        <v>7.4501872809126179E-2</v>
      </c>
      <c r="T594" t="s">
        <v>77</v>
      </c>
      <c r="V594" t="s">
        <v>150</v>
      </c>
      <c r="W594" t="s">
        <v>100</v>
      </c>
      <c r="X594">
        <v>1.0998240073254905E-2</v>
      </c>
      <c r="Y594" t="s">
        <v>77</v>
      </c>
    </row>
    <row r="595" spans="17:25" x14ac:dyDescent="0.25">
      <c r="Q595" t="s">
        <v>130</v>
      </c>
      <c r="R595" t="s">
        <v>101</v>
      </c>
      <c r="S595">
        <v>7.394355972291565E-2</v>
      </c>
      <c r="T595" t="s">
        <v>77</v>
      </c>
      <c r="V595" t="s">
        <v>150</v>
      </c>
      <c r="W595" t="s">
        <v>101</v>
      </c>
      <c r="X595">
        <v>9.5569695028975138E-3</v>
      </c>
      <c r="Y595" t="s">
        <v>77</v>
      </c>
    </row>
    <row r="596" spans="17:25" x14ac:dyDescent="0.25">
      <c r="Q596" t="s">
        <v>130</v>
      </c>
      <c r="R596" t="s">
        <v>102</v>
      </c>
      <c r="S596">
        <v>7.0729986556536381E-2</v>
      </c>
      <c r="T596" t="s">
        <v>77</v>
      </c>
      <c r="V596" t="s">
        <v>150</v>
      </c>
      <c r="W596" t="s">
        <v>102</v>
      </c>
      <c r="X596">
        <v>1.231683830742197E-2</v>
      </c>
      <c r="Y596" t="s">
        <v>77</v>
      </c>
    </row>
    <row r="597" spans="17:25" x14ac:dyDescent="0.25">
      <c r="Q597" t="s">
        <v>130</v>
      </c>
      <c r="R597" t="s">
        <v>103</v>
      </c>
      <c r="S597">
        <v>6.2079892711911118E-2</v>
      </c>
      <c r="T597" t="s">
        <v>77</v>
      </c>
      <c r="V597" t="s">
        <v>150</v>
      </c>
      <c r="W597" t="s">
        <v>103</v>
      </c>
      <c r="X597">
        <v>1.3951198743634817E-2</v>
      </c>
      <c r="Y597" t="s">
        <v>77</v>
      </c>
    </row>
    <row r="598" spans="17:25" x14ac:dyDescent="0.25">
      <c r="Q598" t="s">
        <v>130</v>
      </c>
      <c r="R598" t="s">
        <v>104</v>
      </c>
      <c r="S598">
        <v>4.0976397365438511E-2</v>
      </c>
      <c r="T598" t="s">
        <v>77</v>
      </c>
      <c r="V598" t="s">
        <v>150</v>
      </c>
      <c r="W598" t="s">
        <v>104</v>
      </c>
      <c r="X598">
        <v>1.2137130698276074E-2</v>
      </c>
      <c r="Y598" t="s">
        <v>77</v>
      </c>
    </row>
    <row r="599" spans="17:25" x14ac:dyDescent="0.25">
      <c r="Q599" t="s">
        <v>130</v>
      </c>
      <c r="R599" t="s">
        <v>105</v>
      </c>
      <c r="S599">
        <v>1.1859299291899059E-2</v>
      </c>
      <c r="T599" t="s">
        <v>77</v>
      </c>
      <c r="V599" t="s">
        <v>150</v>
      </c>
      <c r="W599" t="s">
        <v>105</v>
      </c>
      <c r="X599">
        <v>9.6289404817506159E-3</v>
      </c>
      <c r="Y599" t="s">
        <v>77</v>
      </c>
    </row>
    <row r="600" spans="17:25" x14ac:dyDescent="0.25">
      <c r="Q600" t="s">
        <v>130</v>
      </c>
      <c r="R600" t="s">
        <v>106</v>
      </c>
      <c r="S600">
        <v>0</v>
      </c>
      <c r="T600" t="s">
        <v>77</v>
      </c>
      <c r="V600" t="s">
        <v>150</v>
      </c>
      <c r="W600" t="s">
        <v>106</v>
      </c>
      <c r="X600">
        <v>9.9122465216438388E-3</v>
      </c>
      <c r="Y600" t="s">
        <v>77</v>
      </c>
    </row>
    <row r="601" spans="17:25" x14ac:dyDescent="0.25">
      <c r="Q601" t="s">
        <v>130</v>
      </c>
      <c r="R601" t="s">
        <v>107</v>
      </c>
      <c r="S601">
        <v>0</v>
      </c>
      <c r="T601" t="s">
        <v>77</v>
      </c>
      <c r="V601" t="s">
        <v>150</v>
      </c>
      <c r="W601" t="s">
        <v>107</v>
      </c>
      <c r="X601">
        <v>4.7797584643062725E-2</v>
      </c>
      <c r="Y601" t="s">
        <v>77</v>
      </c>
    </row>
    <row r="602" spans="17:25" x14ac:dyDescent="0.25">
      <c r="Q602" t="s">
        <v>130</v>
      </c>
      <c r="R602" t="s">
        <v>108</v>
      </c>
      <c r="S602">
        <v>1.0319151450300698E-3</v>
      </c>
      <c r="T602" t="s">
        <v>77</v>
      </c>
      <c r="V602" t="s">
        <v>150</v>
      </c>
      <c r="W602" t="s">
        <v>108</v>
      </c>
      <c r="X602">
        <v>1.8712802259625846E-2</v>
      </c>
      <c r="Y602" t="s">
        <v>77</v>
      </c>
    </row>
    <row r="603" spans="17:25" x14ac:dyDescent="0.25">
      <c r="Q603" t="s">
        <v>130</v>
      </c>
      <c r="R603" t="s">
        <v>109</v>
      </c>
      <c r="S603">
        <v>1.8738659993311813E-2</v>
      </c>
      <c r="T603" t="s">
        <v>77</v>
      </c>
      <c r="V603" t="s">
        <v>150</v>
      </c>
      <c r="W603" t="s">
        <v>109</v>
      </c>
      <c r="X603">
        <v>1.926418022405172E-2</v>
      </c>
      <c r="Y603" t="s">
        <v>77</v>
      </c>
    </row>
    <row r="604" spans="17:25" x14ac:dyDescent="0.25">
      <c r="Q604" t="s">
        <v>130</v>
      </c>
      <c r="R604" t="s">
        <v>110</v>
      </c>
      <c r="S604">
        <v>3.8744217770248994E-2</v>
      </c>
      <c r="T604" t="s">
        <v>77</v>
      </c>
      <c r="V604" t="s">
        <v>150</v>
      </c>
      <c r="W604" t="s">
        <v>110</v>
      </c>
      <c r="X604">
        <v>2.0514662228392662E-2</v>
      </c>
      <c r="Y604" t="s">
        <v>77</v>
      </c>
    </row>
    <row r="605" spans="17:25" x14ac:dyDescent="0.25">
      <c r="Q605" t="s">
        <v>130</v>
      </c>
      <c r="R605" t="s">
        <v>111</v>
      </c>
      <c r="S605">
        <v>4.2032890915793389E-2</v>
      </c>
      <c r="T605" t="s">
        <v>77</v>
      </c>
      <c r="V605" t="s">
        <v>150</v>
      </c>
      <c r="W605" t="s">
        <v>111</v>
      </c>
      <c r="X605">
        <v>2.1081080085107531E-2</v>
      </c>
      <c r="Y605" t="s">
        <v>77</v>
      </c>
    </row>
    <row r="606" spans="17:25" x14ac:dyDescent="0.25">
      <c r="Q606" t="s">
        <v>130</v>
      </c>
      <c r="R606" t="s">
        <v>112</v>
      </c>
      <c r="S606">
        <v>4.3897019092050377E-2</v>
      </c>
      <c r="T606" t="s">
        <v>77</v>
      </c>
      <c r="V606" t="s">
        <v>150</v>
      </c>
      <c r="W606" t="s">
        <v>112</v>
      </c>
      <c r="X606">
        <v>2.6520989507904321E-2</v>
      </c>
      <c r="Y606" t="s">
        <v>77</v>
      </c>
    </row>
    <row r="607" spans="17:25" x14ac:dyDescent="0.25">
      <c r="Q607" t="s">
        <v>130</v>
      </c>
      <c r="R607" t="s">
        <v>113</v>
      </c>
      <c r="S607">
        <v>3.0829127285380401E-2</v>
      </c>
      <c r="T607" t="s">
        <v>77</v>
      </c>
      <c r="V607" t="s">
        <v>150</v>
      </c>
      <c r="W607" t="s">
        <v>113</v>
      </c>
      <c r="X607">
        <v>2.7304553133177874E-2</v>
      </c>
      <c r="Y607" t="s">
        <v>77</v>
      </c>
    </row>
    <row r="608" spans="17:25" x14ac:dyDescent="0.25">
      <c r="Q608" t="s">
        <v>130</v>
      </c>
      <c r="R608" t="s">
        <v>114</v>
      </c>
      <c r="S608">
        <v>8.2288787937961991E-3</v>
      </c>
      <c r="T608" t="s">
        <v>77</v>
      </c>
      <c r="V608" t="s">
        <v>150</v>
      </c>
      <c r="W608" t="s">
        <v>114</v>
      </c>
      <c r="X608">
        <v>2.6452715629520233E-2</v>
      </c>
      <c r="Y608" t="s">
        <v>77</v>
      </c>
    </row>
    <row r="609" spans="17:25" x14ac:dyDescent="0.25">
      <c r="Q609" t="s">
        <v>130</v>
      </c>
      <c r="R609" t="s">
        <v>115</v>
      </c>
      <c r="S609">
        <v>0</v>
      </c>
      <c r="T609" t="s">
        <v>77</v>
      </c>
      <c r="V609" t="s">
        <v>150</v>
      </c>
      <c r="W609" t="s">
        <v>115</v>
      </c>
      <c r="X609">
        <v>2.5476654208656704E-2</v>
      </c>
      <c r="Y609" t="s">
        <v>77</v>
      </c>
    </row>
    <row r="610" spans="17:25" x14ac:dyDescent="0.25">
      <c r="Q610" t="s">
        <v>130</v>
      </c>
      <c r="R610" t="s">
        <v>116</v>
      </c>
      <c r="S610">
        <v>0</v>
      </c>
      <c r="T610" t="s">
        <v>77</v>
      </c>
      <c r="V610" t="s">
        <v>150</v>
      </c>
      <c r="W610" t="s">
        <v>116</v>
      </c>
      <c r="X610">
        <v>3.4606803548920415E-2</v>
      </c>
      <c r="Y610" t="s">
        <v>77</v>
      </c>
    </row>
    <row r="611" spans="17:25" x14ac:dyDescent="0.25">
      <c r="Q611" t="s">
        <v>131</v>
      </c>
      <c r="R611" t="s">
        <v>76</v>
      </c>
      <c r="S611">
        <v>0</v>
      </c>
      <c r="T611" t="s">
        <v>77</v>
      </c>
      <c r="V611" t="s">
        <v>151</v>
      </c>
      <c r="W611" t="s">
        <v>76</v>
      </c>
      <c r="X611">
        <v>7.6816405752509753E-2</v>
      </c>
      <c r="Y611" t="s">
        <v>77</v>
      </c>
    </row>
    <row r="612" spans="17:25" x14ac:dyDescent="0.25">
      <c r="Q612" t="s">
        <v>131</v>
      </c>
      <c r="R612" t="s">
        <v>78</v>
      </c>
      <c r="S612">
        <v>0</v>
      </c>
      <c r="T612" t="s">
        <v>77</v>
      </c>
      <c r="V612" t="s">
        <v>151</v>
      </c>
      <c r="W612" t="s">
        <v>78</v>
      </c>
      <c r="X612">
        <v>3.0772005398742773E-2</v>
      </c>
      <c r="Y612" t="s">
        <v>77</v>
      </c>
    </row>
    <row r="613" spans="17:25" x14ac:dyDescent="0.25">
      <c r="Q613" t="s">
        <v>131</v>
      </c>
      <c r="R613" t="s">
        <v>79</v>
      </c>
      <c r="S613">
        <v>8.5942734801638932E-4</v>
      </c>
      <c r="T613" t="s">
        <v>77</v>
      </c>
      <c r="V613" t="s">
        <v>151</v>
      </c>
      <c r="W613" t="s">
        <v>79</v>
      </c>
      <c r="X613">
        <v>3.0591852448016287E-2</v>
      </c>
      <c r="Y613" t="s">
        <v>77</v>
      </c>
    </row>
    <row r="614" spans="17:25" x14ac:dyDescent="0.25">
      <c r="Q614" t="s">
        <v>131</v>
      </c>
      <c r="R614" t="s">
        <v>80</v>
      </c>
      <c r="S614">
        <v>1.4989692051518629E-2</v>
      </c>
      <c r="T614" t="s">
        <v>77</v>
      </c>
      <c r="V614" t="s">
        <v>151</v>
      </c>
      <c r="W614" t="s">
        <v>80</v>
      </c>
      <c r="X614">
        <v>2.9688022282195976E-2</v>
      </c>
      <c r="Y614" t="s">
        <v>77</v>
      </c>
    </row>
    <row r="615" spans="17:25" x14ac:dyDescent="0.25">
      <c r="Q615" t="s">
        <v>131</v>
      </c>
      <c r="R615" t="s">
        <v>81</v>
      </c>
      <c r="S615">
        <v>2.3900276577286595E-2</v>
      </c>
      <c r="T615" t="s">
        <v>77</v>
      </c>
      <c r="V615" t="s">
        <v>151</v>
      </c>
      <c r="W615" t="s">
        <v>81</v>
      </c>
      <c r="X615">
        <v>2.8228882988744378E-2</v>
      </c>
      <c r="Y615" t="s">
        <v>77</v>
      </c>
    </row>
    <row r="616" spans="17:25" x14ac:dyDescent="0.25">
      <c r="Q616" t="s">
        <v>131</v>
      </c>
      <c r="R616" t="s">
        <v>82</v>
      </c>
      <c r="S616">
        <v>2.4390076634479688E-2</v>
      </c>
      <c r="T616" t="s">
        <v>77</v>
      </c>
      <c r="V616" t="s">
        <v>151</v>
      </c>
      <c r="W616" t="s">
        <v>82</v>
      </c>
      <c r="X616">
        <v>2.9059745720711506E-2</v>
      </c>
      <c r="Y616" t="s">
        <v>77</v>
      </c>
    </row>
    <row r="617" spans="17:25" x14ac:dyDescent="0.25">
      <c r="Q617" t="s">
        <v>131</v>
      </c>
      <c r="R617" t="s">
        <v>83</v>
      </c>
      <c r="S617">
        <v>1.0485235729353904E-2</v>
      </c>
      <c r="T617" t="s">
        <v>77</v>
      </c>
      <c r="V617" t="s">
        <v>151</v>
      </c>
      <c r="W617" t="s">
        <v>83</v>
      </c>
      <c r="X617">
        <v>3.0528935784158374E-2</v>
      </c>
      <c r="Y617" t="s">
        <v>77</v>
      </c>
    </row>
    <row r="618" spans="17:25" x14ac:dyDescent="0.25">
      <c r="Q618" t="s">
        <v>131</v>
      </c>
      <c r="R618" t="s">
        <v>84</v>
      </c>
      <c r="S618">
        <v>6.6194114499329632E-4</v>
      </c>
      <c r="T618" t="s">
        <v>77</v>
      </c>
      <c r="V618" t="s">
        <v>151</v>
      </c>
      <c r="W618" t="s">
        <v>84</v>
      </c>
      <c r="X618">
        <v>3.254967511584491E-2</v>
      </c>
      <c r="Y618" t="s">
        <v>77</v>
      </c>
    </row>
    <row r="619" spans="17:25" x14ac:dyDescent="0.25">
      <c r="Q619" t="s">
        <v>131</v>
      </c>
      <c r="R619" t="s">
        <v>85</v>
      </c>
      <c r="S619">
        <v>0</v>
      </c>
      <c r="T619" t="s">
        <v>77</v>
      </c>
      <c r="V619" t="s">
        <v>151</v>
      </c>
      <c r="W619" t="s">
        <v>85</v>
      </c>
      <c r="X619">
        <v>3.2752001902927937E-2</v>
      </c>
      <c r="Y619" t="s">
        <v>77</v>
      </c>
    </row>
    <row r="620" spans="17:25" x14ac:dyDescent="0.25">
      <c r="Q620" t="s">
        <v>131</v>
      </c>
      <c r="R620" t="s">
        <v>86</v>
      </c>
      <c r="S620">
        <v>0</v>
      </c>
      <c r="T620" t="s">
        <v>77</v>
      </c>
      <c r="V620" t="s">
        <v>151</v>
      </c>
      <c r="W620" t="s">
        <v>86</v>
      </c>
      <c r="X620">
        <v>4.7521630784666431E-2</v>
      </c>
      <c r="Y620" t="s">
        <v>77</v>
      </c>
    </row>
    <row r="621" spans="17:25" x14ac:dyDescent="0.25">
      <c r="Q621" t="s">
        <v>131</v>
      </c>
      <c r="R621" t="s">
        <v>87</v>
      </c>
      <c r="S621">
        <v>0</v>
      </c>
      <c r="T621" t="s">
        <v>77</v>
      </c>
      <c r="V621" t="s">
        <v>151</v>
      </c>
      <c r="W621" t="s">
        <v>87</v>
      </c>
      <c r="X621">
        <v>4.9834071490532934E-2</v>
      </c>
      <c r="Y621" t="s">
        <v>77</v>
      </c>
    </row>
    <row r="622" spans="17:25" x14ac:dyDescent="0.25">
      <c r="Q622" t="s">
        <v>131</v>
      </c>
      <c r="R622" t="s">
        <v>88</v>
      </c>
      <c r="S622">
        <v>9.71939006184676E-3</v>
      </c>
      <c r="T622" t="s">
        <v>77</v>
      </c>
      <c r="V622" t="s">
        <v>151</v>
      </c>
      <c r="W622" t="s">
        <v>88</v>
      </c>
      <c r="X622">
        <v>1.9986619015700979E-2</v>
      </c>
      <c r="Y622" t="s">
        <v>77</v>
      </c>
    </row>
    <row r="623" spans="17:25" x14ac:dyDescent="0.25">
      <c r="Q623" t="s">
        <v>131</v>
      </c>
      <c r="R623" t="s">
        <v>89</v>
      </c>
      <c r="S623">
        <v>4.111052871067819E-2</v>
      </c>
      <c r="T623" t="s">
        <v>77</v>
      </c>
      <c r="V623" t="s">
        <v>151</v>
      </c>
      <c r="W623" t="s">
        <v>89</v>
      </c>
      <c r="X623">
        <v>1.8957803212821461E-2</v>
      </c>
      <c r="Y623" t="s">
        <v>77</v>
      </c>
    </row>
    <row r="624" spans="17:25" x14ac:dyDescent="0.25">
      <c r="Q624" t="s">
        <v>131</v>
      </c>
      <c r="R624" t="s">
        <v>90</v>
      </c>
      <c r="S624">
        <v>6.4625710742517273E-2</v>
      </c>
      <c r="T624" t="s">
        <v>77</v>
      </c>
      <c r="V624" t="s">
        <v>151</v>
      </c>
      <c r="W624" t="s">
        <v>90</v>
      </c>
      <c r="X624">
        <v>1.9609660629253831E-2</v>
      </c>
      <c r="Y624" t="s">
        <v>77</v>
      </c>
    </row>
    <row r="625" spans="17:25" x14ac:dyDescent="0.25">
      <c r="Q625" t="s">
        <v>131</v>
      </c>
      <c r="R625" t="s">
        <v>91</v>
      </c>
      <c r="S625">
        <v>6.8134697086002241E-2</v>
      </c>
      <c r="T625" t="s">
        <v>77</v>
      </c>
      <c r="V625" t="s">
        <v>151</v>
      </c>
      <c r="W625" t="s">
        <v>91</v>
      </c>
      <c r="X625">
        <v>1.7475341821257279E-2</v>
      </c>
      <c r="Y625" t="s">
        <v>77</v>
      </c>
    </row>
    <row r="626" spans="17:25" x14ac:dyDescent="0.25">
      <c r="Q626" t="s">
        <v>131</v>
      </c>
      <c r="R626" t="s">
        <v>92</v>
      </c>
      <c r="S626">
        <v>6.4889716864621722E-2</v>
      </c>
      <c r="T626" t="s">
        <v>77</v>
      </c>
      <c r="V626" t="s">
        <v>151</v>
      </c>
      <c r="W626" t="s">
        <v>92</v>
      </c>
      <c r="X626">
        <v>1.9886055203104915E-2</v>
      </c>
      <c r="Y626" t="s">
        <v>77</v>
      </c>
    </row>
    <row r="627" spans="17:25" x14ac:dyDescent="0.25">
      <c r="Q627" t="s">
        <v>131</v>
      </c>
      <c r="R627" t="s">
        <v>93</v>
      </c>
      <c r="S627">
        <v>5.1715873173437725E-2</v>
      </c>
      <c r="T627" t="s">
        <v>77</v>
      </c>
      <c r="V627" t="s">
        <v>151</v>
      </c>
      <c r="W627" t="s">
        <v>93</v>
      </c>
      <c r="X627">
        <v>2.0095970630393908E-2</v>
      </c>
      <c r="Y627" t="s">
        <v>77</v>
      </c>
    </row>
    <row r="628" spans="17:25" x14ac:dyDescent="0.25">
      <c r="Q628" t="s">
        <v>131</v>
      </c>
      <c r="R628" t="s">
        <v>94</v>
      </c>
      <c r="S628">
        <v>2.8061541145804378E-2</v>
      </c>
      <c r="T628" t="s">
        <v>77</v>
      </c>
      <c r="V628" t="s">
        <v>151</v>
      </c>
      <c r="W628" t="s">
        <v>94</v>
      </c>
      <c r="X628">
        <v>2.0331629637956202E-2</v>
      </c>
      <c r="Y628" t="s">
        <v>77</v>
      </c>
    </row>
    <row r="629" spans="17:25" x14ac:dyDescent="0.25">
      <c r="Q629" t="s">
        <v>131</v>
      </c>
      <c r="R629" t="s">
        <v>95</v>
      </c>
      <c r="S629">
        <v>4.1189855813762791E-3</v>
      </c>
      <c r="T629" t="s">
        <v>77</v>
      </c>
      <c r="V629" t="s">
        <v>151</v>
      </c>
      <c r="W629" t="s">
        <v>95</v>
      </c>
      <c r="X629">
        <v>2.1765916660255649E-2</v>
      </c>
      <c r="Y629" t="s">
        <v>77</v>
      </c>
    </row>
    <row r="630" spans="17:25" x14ac:dyDescent="0.25">
      <c r="Q630" t="s">
        <v>131</v>
      </c>
      <c r="R630" t="s">
        <v>96</v>
      </c>
      <c r="S630">
        <v>0</v>
      </c>
      <c r="T630" t="s">
        <v>77</v>
      </c>
      <c r="V630" t="s">
        <v>151</v>
      </c>
      <c r="W630" t="s">
        <v>96</v>
      </c>
      <c r="X630">
        <v>3.0741870554287693E-2</v>
      </c>
      <c r="Y630" t="s">
        <v>77</v>
      </c>
    </row>
    <row r="631" spans="17:25" x14ac:dyDescent="0.25">
      <c r="Q631" t="s">
        <v>131</v>
      </c>
      <c r="R631" t="s">
        <v>97</v>
      </c>
      <c r="S631">
        <v>0</v>
      </c>
      <c r="T631" t="s">
        <v>77</v>
      </c>
      <c r="V631" t="s">
        <v>151</v>
      </c>
      <c r="W631" t="s">
        <v>97</v>
      </c>
      <c r="X631">
        <v>2.2168811048128276E-2</v>
      </c>
      <c r="Y631" t="s">
        <v>77</v>
      </c>
    </row>
    <row r="632" spans="17:25" x14ac:dyDescent="0.25">
      <c r="Q632" t="s">
        <v>131</v>
      </c>
      <c r="R632" t="s">
        <v>98</v>
      </c>
      <c r="S632">
        <v>2.1590516874018421E-2</v>
      </c>
      <c r="T632" t="s">
        <v>77</v>
      </c>
      <c r="V632" t="s">
        <v>151</v>
      </c>
      <c r="W632" t="s">
        <v>98</v>
      </c>
      <c r="X632">
        <v>8.5738823026415955E-3</v>
      </c>
      <c r="Y632" t="s">
        <v>77</v>
      </c>
    </row>
    <row r="633" spans="17:25" x14ac:dyDescent="0.25">
      <c r="Q633" t="s">
        <v>131</v>
      </c>
      <c r="R633" t="s">
        <v>99</v>
      </c>
      <c r="S633">
        <v>5.6247358115571841E-2</v>
      </c>
      <c r="T633" t="s">
        <v>77</v>
      </c>
      <c r="V633" t="s">
        <v>151</v>
      </c>
      <c r="W633" t="s">
        <v>99</v>
      </c>
      <c r="X633">
        <v>7.6791658057212622E-3</v>
      </c>
      <c r="Y633" t="s">
        <v>77</v>
      </c>
    </row>
    <row r="634" spans="17:25" x14ac:dyDescent="0.25">
      <c r="Q634" t="s">
        <v>131</v>
      </c>
      <c r="R634" t="s">
        <v>100</v>
      </c>
      <c r="S634">
        <v>7.5222827280902224E-2</v>
      </c>
      <c r="T634" t="s">
        <v>77</v>
      </c>
      <c r="V634" t="s">
        <v>151</v>
      </c>
      <c r="W634" t="s">
        <v>100</v>
      </c>
      <c r="X634">
        <v>8.7071592486580966E-3</v>
      </c>
      <c r="Y634" t="s">
        <v>77</v>
      </c>
    </row>
    <row r="635" spans="17:25" x14ac:dyDescent="0.25">
      <c r="Q635" t="s">
        <v>131</v>
      </c>
      <c r="R635" t="s">
        <v>101</v>
      </c>
      <c r="S635">
        <v>7.535594348723379E-2</v>
      </c>
      <c r="T635" t="s">
        <v>77</v>
      </c>
      <c r="V635" t="s">
        <v>151</v>
      </c>
      <c r="W635" t="s">
        <v>101</v>
      </c>
      <c r="X635">
        <v>7.5303982483292268E-3</v>
      </c>
      <c r="Y635" t="s">
        <v>77</v>
      </c>
    </row>
    <row r="636" spans="17:25" x14ac:dyDescent="0.25">
      <c r="Q636" t="s">
        <v>131</v>
      </c>
      <c r="R636" t="s">
        <v>102</v>
      </c>
      <c r="S636">
        <v>7.1713013427400663E-2</v>
      </c>
      <c r="T636" t="s">
        <v>77</v>
      </c>
      <c r="V636" t="s">
        <v>151</v>
      </c>
      <c r="W636" t="s">
        <v>102</v>
      </c>
      <c r="X636">
        <v>9.0940344640719518E-3</v>
      </c>
      <c r="Y636" t="s">
        <v>77</v>
      </c>
    </row>
    <row r="637" spans="17:25" x14ac:dyDescent="0.25">
      <c r="Q637" t="s">
        <v>131</v>
      </c>
      <c r="R637" t="s">
        <v>103</v>
      </c>
      <c r="S637">
        <v>6.3219971196680672E-2</v>
      </c>
      <c r="T637" t="s">
        <v>77</v>
      </c>
      <c r="V637" t="s">
        <v>151</v>
      </c>
      <c r="W637" t="s">
        <v>103</v>
      </c>
      <c r="X637">
        <v>9.4741534731925831E-3</v>
      </c>
      <c r="Y637" t="s">
        <v>77</v>
      </c>
    </row>
    <row r="638" spans="17:25" x14ac:dyDescent="0.25">
      <c r="Q638" t="s">
        <v>131</v>
      </c>
      <c r="R638" t="s">
        <v>104</v>
      </c>
      <c r="S638">
        <v>4.2727426268536109E-2</v>
      </c>
      <c r="T638" t="s">
        <v>77</v>
      </c>
      <c r="V638" t="s">
        <v>151</v>
      </c>
      <c r="W638" t="s">
        <v>104</v>
      </c>
      <c r="X638">
        <v>8.5209341032500101E-3</v>
      </c>
      <c r="Y638" t="s">
        <v>77</v>
      </c>
    </row>
    <row r="639" spans="17:25" x14ac:dyDescent="0.25">
      <c r="Q639" t="s">
        <v>131</v>
      </c>
      <c r="R639" t="s">
        <v>105</v>
      </c>
      <c r="S639">
        <v>1.3713452973715909E-2</v>
      </c>
      <c r="T639" t="s">
        <v>77</v>
      </c>
      <c r="V639" t="s">
        <v>151</v>
      </c>
      <c r="W639" t="s">
        <v>105</v>
      </c>
      <c r="X639">
        <v>9.7047932418937582E-3</v>
      </c>
      <c r="Y639" t="s">
        <v>77</v>
      </c>
    </row>
    <row r="640" spans="17:25" x14ac:dyDescent="0.25">
      <c r="Q640" t="s">
        <v>131</v>
      </c>
      <c r="R640" t="s">
        <v>106</v>
      </c>
      <c r="S640">
        <v>0</v>
      </c>
      <c r="T640" t="s">
        <v>77</v>
      </c>
      <c r="V640" t="s">
        <v>151</v>
      </c>
      <c r="W640" t="s">
        <v>106</v>
      </c>
      <c r="X640">
        <v>1.4154295527075773E-2</v>
      </c>
      <c r="Y640" t="s">
        <v>77</v>
      </c>
    </row>
    <row r="641" spans="17:25" x14ac:dyDescent="0.25">
      <c r="Q641" t="s">
        <v>131</v>
      </c>
      <c r="R641" t="s">
        <v>107</v>
      </c>
      <c r="S641">
        <v>0</v>
      </c>
      <c r="T641" t="s">
        <v>77</v>
      </c>
      <c r="V641" t="s">
        <v>151</v>
      </c>
      <c r="W641" t="s">
        <v>107</v>
      </c>
      <c r="X641">
        <v>6.0521626029825346E-2</v>
      </c>
      <c r="Y641" t="s">
        <v>77</v>
      </c>
    </row>
    <row r="642" spans="17:25" x14ac:dyDescent="0.25">
      <c r="Q642" t="s">
        <v>131</v>
      </c>
      <c r="R642" t="s">
        <v>108</v>
      </c>
      <c r="S642">
        <v>1.2164968810401819E-3</v>
      </c>
      <c r="T642" t="s">
        <v>77</v>
      </c>
      <c r="V642" t="s">
        <v>151</v>
      </c>
      <c r="W642" t="s">
        <v>108</v>
      </c>
      <c r="X642">
        <v>2.3527288713340786E-2</v>
      </c>
      <c r="Y642" t="s">
        <v>77</v>
      </c>
    </row>
    <row r="643" spans="17:25" x14ac:dyDescent="0.25">
      <c r="Q643" t="s">
        <v>131</v>
      </c>
      <c r="R643" t="s">
        <v>109</v>
      </c>
      <c r="S643">
        <v>1.7757245761031097E-2</v>
      </c>
      <c r="T643" t="s">
        <v>77</v>
      </c>
      <c r="V643" t="s">
        <v>151</v>
      </c>
      <c r="W643" t="s">
        <v>109</v>
      </c>
      <c r="X643">
        <v>2.3234027122280256E-2</v>
      </c>
      <c r="Y643" t="s">
        <v>77</v>
      </c>
    </row>
    <row r="644" spans="17:25" x14ac:dyDescent="0.25">
      <c r="Q644" t="s">
        <v>131</v>
      </c>
      <c r="R644" t="s">
        <v>110</v>
      </c>
      <c r="S644">
        <v>3.786743400849453E-2</v>
      </c>
      <c r="T644" t="s">
        <v>77</v>
      </c>
      <c r="V644" t="s">
        <v>151</v>
      </c>
      <c r="W644" t="s">
        <v>110</v>
      </c>
      <c r="X644">
        <v>2.3519921756435316E-2</v>
      </c>
      <c r="Y644" t="s">
        <v>77</v>
      </c>
    </row>
    <row r="645" spans="17:25" x14ac:dyDescent="0.25">
      <c r="Q645" t="s">
        <v>131</v>
      </c>
      <c r="R645" t="s">
        <v>111</v>
      </c>
      <c r="S645">
        <v>4.0921104020652493E-2</v>
      </c>
      <c r="T645" t="s">
        <v>77</v>
      </c>
      <c r="V645" t="s">
        <v>151</v>
      </c>
      <c r="W645" t="s">
        <v>111</v>
      </c>
      <c r="X645">
        <v>2.2159215654140519E-2</v>
      </c>
      <c r="Y645" t="s">
        <v>77</v>
      </c>
    </row>
    <row r="646" spans="17:25" x14ac:dyDescent="0.25">
      <c r="Q646" t="s">
        <v>131</v>
      </c>
      <c r="R646" t="s">
        <v>112</v>
      </c>
      <c r="S646">
        <v>3.9471041374805532E-2</v>
      </c>
      <c r="T646" t="s">
        <v>77</v>
      </c>
      <c r="V646" t="s">
        <v>151</v>
      </c>
      <c r="W646" t="s">
        <v>112</v>
      </c>
      <c r="X646">
        <v>2.3237225434258602E-2</v>
      </c>
      <c r="Y646" t="s">
        <v>77</v>
      </c>
    </row>
    <row r="647" spans="17:25" x14ac:dyDescent="0.25">
      <c r="Q647" t="s">
        <v>131</v>
      </c>
      <c r="R647" t="s">
        <v>113</v>
      </c>
      <c r="S647">
        <v>2.777529582338558E-2</v>
      </c>
      <c r="T647" t="s">
        <v>77</v>
      </c>
      <c r="V647" t="s">
        <v>151</v>
      </c>
      <c r="W647" t="s">
        <v>113</v>
      </c>
      <c r="X647">
        <v>2.3431480483077347E-2</v>
      </c>
      <c r="Y647" t="s">
        <v>77</v>
      </c>
    </row>
    <row r="648" spans="17:25" x14ac:dyDescent="0.25">
      <c r="Q648" t="s">
        <v>131</v>
      </c>
      <c r="R648" t="s">
        <v>114</v>
      </c>
      <c r="S648">
        <v>7.5377796545978357E-3</v>
      </c>
      <c r="T648" t="s">
        <v>77</v>
      </c>
      <c r="V648" t="s">
        <v>151</v>
      </c>
      <c r="W648" t="s">
        <v>114</v>
      </c>
      <c r="X648">
        <v>2.4029077319016691E-2</v>
      </c>
      <c r="Y648" t="s">
        <v>77</v>
      </c>
    </row>
    <row r="649" spans="17:25" x14ac:dyDescent="0.25">
      <c r="Q649" t="s">
        <v>131</v>
      </c>
      <c r="R649" t="s">
        <v>115</v>
      </c>
      <c r="S649">
        <v>0</v>
      </c>
      <c r="T649" t="s">
        <v>77</v>
      </c>
      <c r="V649" t="s">
        <v>151</v>
      </c>
      <c r="W649" t="s">
        <v>115</v>
      </c>
      <c r="X649">
        <v>2.5217680962780886E-2</v>
      </c>
      <c r="Y649" t="s">
        <v>77</v>
      </c>
    </row>
    <row r="650" spans="17:25" x14ac:dyDescent="0.25">
      <c r="Q650" t="s">
        <v>131</v>
      </c>
      <c r="R650" t="s">
        <v>116</v>
      </c>
      <c r="S650">
        <v>0</v>
      </c>
      <c r="T650" t="s">
        <v>77</v>
      </c>
      <c r="V650" t="s">
        <v>151</v>
      </c>
      <c r="W650" t="s">
        <v>116</v>
      </c>
      <c r="X650">
        <v>3.8320732027794617E-2</v>
      </c>
      <c r="Y650" t="s">
        <v>77</v>
      </c>
    </row>
    <row r="651" spans="17:25" x14ac:dyDescent="0.25">
      <c r="Q651" t="s">
        <v>132</v>
      </c>
      <c r="R651" t="s">
        <v>76</v>
      </c>
      <c r="S651">
        <v>0</v>
      </c>
      <c r="T651" t="s">
        <v>77</v>
      </c>
      <c r="V651" t="s">
        <v>152</v>
      </c>
      <c r="W651" t="s">
        <v>76</v>
      </c>
      <c r="X651">
        <v>7.2473652004745787E-2</v>
      </c>
      <c r="Y651" t="s">
        <v>77</v>
      </c>
    </row>
    <row r="652" spans="17:25" x14ac:dyDescent="0.25">
      <c r="Q652" t="s">
        <v>132</v>
      </c>
      <c r="R652" t="s">
        <v>78</v>
      </c>
      <c r="S652">
        <v>0</v>
      </c>
      <c r="T652" t="s">
        <v>77</v>
      </c>
      <c r="V652" t="s">
        <v>152</v>
      </c>
      <c r="W652" t="s">
        <v>78</v>
      </c>
      <c r="X652">
        <v>2.9684352763678468E-2</v>
      </c>
      <c r="Y652" t="s">
        <v>77</v>
      </c>
    </row>
    <row r="653" spans="17:25" x14ac:dyDescent="0.25">
      <c r="Q653" t="s">
        <v>132</v>
      </c>
      <c r="R653" t="s">
        <v>79</v>
      </c>
      <c r="S653">
        <v>6.9556965445075557E-4</v>
      </c>
      <c r="T653" t="s">
        <v>77</v>
      </c>
      <c r="V653" t="s">
        <v>152</v>
      </c>
      <c r="W653" t="s">
        <v>79</v>
      </c>
      <c r="X653">
        <v>2.9235132789135601E-2</v>
      </c>
      <c r="Y653" t="s">
        <v>77</v>
      </c>
    </row>
    <row r="654" spans="17:25" x14ac:dyDescent="0.25">
      <c r="Q654" t="s">
        <v>132</v>
      </c>
      <c r="R654" t="s">
        <v>80</v>
      </c>
      <c r="S654">
        <v>1.4131791877547827E-2</v>
      </c>
      <c r="T654" t="s">
        <v>77</v>
      </c>
      <c r="V654" t="s">
        <v>152</v>
      </c>
      <c r="W654" t="s">
        <v>80</v>
      </c>
      <c r="X654">
        <v>2.792397387463472E-2</v>
      </c>
      <c r="Y654" t="s">
        <v>77</v>
      </c>
    </row>
    <row r="655" spans="17:25" x14ac:dyDescent="0.25">
      <c r="Q655" t="s">
        <v>132</v>
      </c>
      <c r="R655" t="s">
        <v>81</v>
      </c>
      <c r="S655">
        <v>2.2859953565905151E-2</v>
      </c>
      <c r="T655" t="s">
        <v>77</v>
      </c>
      <c r="V655" t="s">
        <v>152</v>
      </c>
      <c r="W655" t="s">
        <v>81</v>
      </c>
      <c r="X655">
        <v>2.5742678368476098E-2</v>
      </c>
      <c r="Y655" t="s">
        <v>77</v>
      </c>
    </row>
    <row r="656" spans="17:25" x14ac:dyDescent="0.25">
      <c r="Q656" t="s">
        <v>132</v>
      </c>
      <c r="R656" t="s">
        <v>82</v>
      </c>
      <c r="S656">
        <v>2.2187667711459913E-2</v>
      </c>
      <c r="T656" t="s">
        <v>77</v>
      </c>
      <c r="V656" t="s">
        <v>152</v>
      </c>
      <c r="W656" t="s">
        <v>82</v>
      </c>
      <c r="X656">
        <v>2.6830194284580122E-2</v>
      </c>
      <c r="Y656" t="s">
        <v>77</v>
      </c>
    </row>
    <row r="657" spans="17:25" x14ac:dyDescent="0.25">
      <c r="Q657" t="s">
        <v>132</v>
      </c>
      <c r="R657" t="s">
        <v>83</v>
      </c>
      <c r="S657">
        <v>9.7107397395210446E-3</v>
      </c>
      <c r="T657" t="s">
        <v>77</v>
      </c>
      <c r="V657" t="s">
        <v>152</v>
      </c>
      <c r="W657" t="s">
        <v>83</v>
      </c>
      <c r="X657">
        <v>2.8440260060172882E-2</v>
      </c>
      <c r="Y657" t="s">
        <v>77</v>
      </c>
    </row>
    <row r="658" spans="17:25" x14ac:dyDescent="0.25">
      <c r="Q658" t="s">
        <v>132</v>
      </c>
      <c r="R658" t="s">
        <v>84</v>
      </c>
      <c r="S658">
        <v>6.7834931051908079E-4</v>
      </c>
      <c r="T658" t="s">
        <v>77</v>
      </c>
      <c r="V658" t="s">
        <v>152</v>
      </c>
      <c r="W658" t="s">
        <v>84</v>
      </c>
      <c r="X658">
        <v>3.0368399043818932E-2</v>
      </c>
      <c r="Y658" t="s">
        <v>77</v>
      </c>
    </row>
    <row r="659" spans="17:25" x14ac:dyDescent="0.25">
      <c r="Q659" t="s">
        <v>132</v>
      </c>
      <c r="R659" t="s">
        <v>85</v>
      </c>
      <c r="S659">
        <v>0</v>
      </c>
      <c r="T659" t="s">
        <v>77</v>
      </c>
      <c r="V659" t="s">
        <v>152</v>
      </c>
      <c r="W659" t="s">
        <v>85</v>
      </c>
      <c r="X659">
        <v>3.0045996403276005E-2</v>
      </c>
      <c r="Y659" t="s">
        <v>77</v>
      </c>
    </row>
    <row r="660" spans="17:25" x14ac:dyDescent="0.25">
      <c r="Q660" t="s">
        <v>132</v>
      </c>
      <c r="R660" t="s">
        <v>86</v>
      </c>
      <c r="S660">
        <v>0</v>
      </c>
      <c r="T660" t="s">
        <v>77</v>
      </c>
      <c r="V660" t="s">
        <v>152</v>
      </c>
      <c r="W660" t="s">
        <v>86</v>
      </c>
      <c r="X660">
        <v>4.3243943582561402E-2</v>
      </c>
      <c r="Y660" t="s">
        <v>77</v>
      </c>
    </row>
    <row r="661" spans="17:25" x14ac:dyDescent="0.25">
      <c r="Q661" t="s">
        <v>132</v>
      </c>
      <c r="R661" t="s">
        <v>87</v>
      </c>
      <c r="S661">
        <v>0</v>
      </c>
      <c r="T661" t="s">
        <v>77</v>
      </c>
      <c r="V661" t="s">
        <v>152</v>
      </c>
      <c r="W661" t="s">
        <v>87</v>
      </c>
      <c r="X661">
        <v>5.3330293867764188E-2</v>
      </c>
      <c r="Y661" t="s">
        <v>77</v>
      </c>
    </row>
    <row r="662" spans="17:25" x14ac:dyDescent="0.25">
      <c r="Q662" t="s">
        <v>132</v>
      </c>
      <c r="R662" t="s">
        <v>88</v>
      </c>
      <c r="S662">
        <v>1.0172323702858681E-2</v>
      </c>
      <c r="T662" t="s">
        <v>77</v>
      </c>
      <c r="V662" t="s">
        <v>152</v>
      </c>
      <c r="W662" t="s">
        <v>88</v>
      </c>
      <c r="X662">
        <v>2.1604747464340737E-2</v>
      </c>
      <c r="Y662" t="s">
        <v>77</v>
      </c>
    </row>
    <row r="663" spans="17:25" x14ac:dyDescent="0.25">
      <c r="Q663" t="s">
        <v>132</v>
      </c>
      <c r="R663" t="s">
        <v>89</v>
      </c>
      <c r="S663">
        <v>4.203434856511027E-2</v>
      </c>
      <c r="T663" t="s">
        <v>77</v>
      </c>
      <c r="V663" t="s">
        <v>152</v>
      </c>
      <c r="W663" t="s">
        <v>89</v>
      </c>
      <c r="X663">
        <v>2.0117163607922987E-2</v>
      </c>
      <c r="Y663" t="s">
        <v>77</v>
      </c>
    </row>
    <row r="664" spans="17:25" x14ac:dyDescent="0.25">
      <c r="Q664" t="s">
        <v>132</v>
      </c>
      <c r="R664" t="s">
        <v>90</v>
      </c>
      <c r="S664">
        <v>6.8084408690360906E-2</v>
      </c>
      <c r="T664" t="s">
        <v>77</v>
      </c>
      <c r="V664" t="s">
        <v>152</v>
      </c>
      <c r="W664" t="s">
        <v>90</v>
      </c>
      <c r="X664">
        <v>2.0799840011954122E-2</v>
      </c>
      <c r="Y664" t="s">
        <v>77</v>
      </c>
    </row>
    <row r="665" spans="17:25" x14ac:dyDescent="0.25">
      <c r="Q665" t="s">
        <v>132</v>
      </c>
      <c r="R665" t="s">
        <v>91</v>
      </c>
      <c r="S665">
        <v>7.1697470769425453E-2</v>
      </c>
      <c r="T665" t="s">
        <v>77</v>
      </c>
      <c r="V665" t="s">
        <v>152</v>
      </c>
      <c r="W665" t="s">
        <v>91</v>
      </c>
      <c r="X665">
        <v>1.8483684561492741E-2</v>
      </c>
      <c r="Y665" t="s">
        <v>77</v>
      </c>
    </row>
    <row r="666" spans="17:25" x14ac:dyDescent="0.25">
      <c r="Q666" t="s">
        <v>132</v>
      </c>
      <c r="R666" t="s">
        <v>92</v>
      </c>
      <c r="S666">
        <v>6.86418330481815E-2</v>
      </c>
      <c r="T666" t="s">
        <v>77</v>
      </c>
      <c r="V666" t="s">
        <v>152</v>
      </c>
      <c r="W666" t="s">
        <v>92</v>
      </c>
      <c r="X666">
        <v>2.0994695319181616E-2</v>
      </c>
      <c r="Y666" t="s">
        <v>77</v>
      </c>
    </row>
    <row r="667" spans="17:25" x14ac:dyDescent="0.25">
      <c r="Q667" t="s">
        <v>132</v>
      </c>
      <c r="R667" t="s">
        <v>93</v>
      </c>
      <c r="S667">
        <v>5.4279108261568468E-2</v>
      </c>
      <c r="T667" t="s">
        <v>77</v>
      </c>
      <c r="V667" t="s">
        <v>152</v>
      </c>
      <c r="W667" t="s">
        <v>93</v>
      </c>
      <c r="X667">
        <v>2.0876930288852489E-2</v>
      </c>
      <c r="Y667" t="s">
        <v>77</v>
      </c>
    </row>
    <row r="668" spans="17:25" x14ac:dyDescent="0.25">
      <c r="Q668" t="s">
        <v>132</v>
      </c>
      <c r="R668" t="s">
        <v>94</v>
      </c>
      <c r="S668">
        <v>2.8824492951869948E-2</v>
      </c>
      <c r="T668" t="s">
        <v>77</v>
      </c>
      <c r="V668" t="s">
        <v>152</v>
      </c>
      <c r="W668" t="s">
        <v>94</v>
      </c>
      <c r="X668">
        <v>2.0990164578597939E-2</v>
      </c>
      <c r="Y668" t="s">
        <v>77</v>
      </c>
    </row>
    <row r="669" spans="17:25" x14ac:dyDescent="0.25">
      <c r="Q669" t="s">
        <v>132</v>
      </c>
      <c r="R669" t="s">
        <v>95</v>
      </c>
      <c r="S669">
        <v>4.2982816729734028E-3</v>
      </c>
      <c r="T669" t="s">
        <v>77</v>
      </c>
      <c r="V669" t="s">
        <v>152</v>
      </c>
      <c r="W669" t="s">
        <v>95</v>
      </c>
      <c r="X669">
        <v>2.2854846514358006E-2</v>
      </c>
      <c r="Y669" t="s">
        <v>77</v>
      </c>
    </row>
    <row r="670" spans="17:25" x14ac:dyDescent="0.25">
      <c r="Q670" t="s">
        <v>132</v>
      </c>
      <c r="R670" t="s">
        <v>96</v>
      </c>
      <c r="S670">
        <v>0</v>
      </c>
      <c r="T670" t="s">
        <v>77</v>
      </c>
      <c r="V670" t="s">
        <v>152</v>
      </c>
      <c r="W670" t="s">
        <v>96</v>
      </c>
      <c r="X670">
        <v>3.2521973590761991E-2</v>
      </c>
      <c r="Y670" t="s">
        <v>77</v>
      </c>
    </row>
    <row r="671" spans="17:25" x14ac:dyDescent="0.25">
      <c r="Q671" t="s">
        <v>132</v>
      </c>
      <c r="R671" t="s">
        <v>97</v>
      </c>
      <c r="S671">
        <v>6.9977608612445701E-6</v>
      </c>
      <c r="T671" t="s">
        <v>77</v>
      </c>
      <c r="V671" t="s">
        <v>152</v>
      </c>
      <c r="W671" t="s">
        <v>97</v>
      </c>
      <c r="X671">
        <v>2.4801256423703108E-2</v>
      </c>
      <c r="Y671" t="s">
        <v>77</v>
      </c>
    </row>
    <row r="672" spans="17:25" x14ac:dyDescent="0.25">
      <c r="Q672" t="s">
        <v>132</v>
      </c>
      <c r="R672" t="s">
        <v>98</v>
      </c>
      <c r="S672">
        <v>2.2968522148515448E-2</v>
      </c>
      <c r="T672" t="s">
        <v>77</v>
      </c>
      <c r="V672" t="s">
        <v>152</v>
      </c>
      <c r="W672" t="s">
        <v>98</v>
      </c>
      <c r="X672">
        <v>9.6181732716639975E-3</v>
      </c>
      <c r="Y672" t="s">
        <v>77</v>
      </c>
    </row>
    <row r="673" spans="17:25" x14ac:dyDescent="0.25">
      <c r="Q673" t="s">
        <v>132</v>
      </c>
      <c r="R673" t="s">
        <v>99</v>
      </c>
      <c r="S673">
        <v>5.6610080535205845E-2</v>
      </c>
      <c r="T673" t="s">
        <v>77</v>
      </c>
      <c r="V673" t="s">
        <v>152</v>
      </c>
      <c r="W673" t="s">
        <v>99</v>
      </c>
      <c r="X673">
        <v>9.2082966834937646E-3</v>
      </c>
      <c r="Y673" t="s">
        <v>77</v>
      </c>
    </row>
    <row r="674" spans="17:25" x14ac:dyDescent="0.25">
      <c r="Q674" t="s">
        <v>132</v>
      </c>
      <c r="R674" t="s">
        <v>100</v>
      </c>
      <c r="S674">
        <v>7.3917348637414532E-2</v>
      </c>
      <c r="T674" t="s">
        <v>77</v>
      </c>
      <c r="V674" t="s">
        <v>152</v>
      </c>
      <c r="W674" t="s">
        <v>100</v>
      </c>
      <c r="X674">
        <v>1.0519761747128778E-2</v>
      </c>
      <c r="Y674" t="s">
        <v>77</v>
      </c>
    </row>
    <row r="675" spans="17:25" x14ac:dyDescent="0.25">
      <c r="Q675" t="s">
        <v>132</v>
      </c>
      <c r="R675" t="s">
        <v>101</v>
      </c>
      <c r="S675">
        <v>7.4305873865511587E-2</v>
      </c>
      <c r="T675" t="s">
        <v>77</v>
      </c>
      <c r="V675" t="s">
        <v>152</v>
      </c>
      <c r="W675" t="s">
        <v>101</v>
      </c>
      <c r="X675">
        <v>8.558860139118862E-3</v>
      </c>
      <c r="Y675" t="s">
        <v>77</v>
      </c>
    </row>
    <row r="676" spans="17:25" x14ac:dyDescent="0.25">
      <c r="Q676" t="s">
        <v>132</v>
      </c>
      <c r="R676" t="s">
        <v>102</v>
      </c>
      <c r="S676">
        <v>7.0673135559528533E-2</v>
      </c>
      <c r="T676" t="s">
        <v>77</v>
      </c>
      <c r="V676" t="s">
        <v>152</v>
      </c>
      <c r="W676" t="s">
        <v>102</v>
      </c>
      <c r="X676">
        <v>1.0444988124812657E-2</v>
      </c>
      <c r="Y676" t="s">
        <v>77</v>
      </c>
    </row>
    <row r="677" spans="17:25" x14ac:dyDescent="0.25">
      <c r="Q677" t="s">
        <v>132</v>
      </c>
      <c r="R677" t="s">
        <v>103</v>
      </c>
      <c r="S677">
        <v>6.2680964984756601E-2</v>
      </c>
      <c r="T677" t="s">
        <v>77</v>
      </c>
      <c r="V677" t="s">
        <v>152</v>
      </c>
      <c r="W677" t="s">
        <v>103</v>
      </c>
      <c r="X677">
        <v>1.2377271117228946E-2</v>
      </c>
      <c r="Y677" t="s">
        <v>77</v>
      </c>
    </row>
    <row r="678" spans="17:25" x14ac:dyDescent="0.25">
      <c r="Q678" t="s">
        <v>132</v>
      </c>
      <c r="R678" t="s">
        <v>104</v>
      </c>
      <c r="S678">
        <v>4.2624474006844833E-2</v>
      </c>
      <c r="T678" t="s">
        <v>77</v>
      </c>
      <c r="V678" t="s">
        <v>152</v>
      </c>
      <c r="W678" t="s">
        <v>104</v>
      </c>
      <c r="X678">
        <v>1.1663580140074396E-2</v>
      </c>
      <c r="Y678" t="s">
        <v>77</v>
      </c>
    </row>
    <row r="679" spans="17:25" x14ac:dyDescent="0.25">
      <c r="Q679" t="s">
        <v>132</v>
      </c>
      <c r="R679" t="s">
        <v>105</v>
      </c>
      <c r="S679">
        <v>1.4158593780470793E-2</v>
      </c>
      <c r="T679" t="s">
        <v>77</v>
      </c>
      <c r="V679" t="s">
        <v>152</v>
      </c>
      <c r="W679" t="s">
        <v>105</v>
      </c>
      <c r="X679">
        <v>1.1815349531406208E-2</v>
      </c>
      <c r="Y679" t="s">
        <v>77</v>
      </c>
    </row>
    <row r="680" spans="17:25" x14ac:dyDescent="0.25">
      <c r="Q680" t="s">
        <v>132</v>
      </c>
      <c r="R680" t="s">
        <v>106</v>
      </c>
      <c r="S680">
        <v>0</v>
      </c>
      <c r="T680" t="s">
        <v>77</v>
      </c>
      <c r="V680" t="s">
        <v>152</v>
      </c>
      <c r="W680" t="s">
        <v>106</v>
      </c>
      <c r="X680">
        <v>1.6540345270339381E-2</v>
      </c>
      <c r="Y680" t="s">
        <v>77</v>
      </c>
    </row>
    <row r="681" spans="17:25" x14ac:dyDescent="0.25">
      <c r="Q681" t="s">
        <v>132</v>
      </c>
      <c r="R681" t="s">
        <v>107</v>
      </c>
      <c r="S681">
        <v>0</v>
      </c>
      <c r="T681" t="s">
        <v>77</v>
      </c>
      <c r="V681" t="s">
        <v>152</v>
      </c>
      <c r="W681" t="s">
        <v>107</v>
      </c>
      <c r="X681">
        <v>5.4387987975943616E-2</v>
      </c>
      <c r="Y681" t="s">
        <v>77</v>
      </c>
    </row>
    <row r="682" spans="17:25" x14ac:dyDescent="0.25">
      <c r="Q682" t="s">
        <v>132</v>
      </c>
      <c r="R682" t="s">
        <v>108</v>
      </c>
      <c r="S682">
        <v>1.2367901120842041E-3</v>
      </c>
      <c r="T682" t="s">
        <v>77</v>
      </c>
      <c r="V682" t="s">
        <v>152</v>
      </c>
      <c r="W682" t="s">
        <v>108</v>
      </c>
      <c r="X682">
        <v>2.068739297291964E-2</v>
      </c>
      <c r="Y682" t="s">
        <v>77</v>
      </c>
    </row>
    <row r="683" spans="17:25" x14ac:dyDescent="0.25">
      <c r="Q683" t="s">
        <v>132</v>
      </c>
      <c r="R683" t="s">
        <v>109</v>
      </c>
      <c r="S683">
        <v>1.7588543821017759E-2</v>
      </c>
      <c r="T683" t="s">
        <v>77</v>
      </c>
      <c r="V683" t="s">
        <v>152</v>
      </c>
      <c r="W683" t="s">
        <v>109</v>
      </c>
      <c r="X683">
        <v>2.1199997109393243E-2</v>
      </c>
      <c r="Y683" t="s">
        <v>77</v>
      </c>
    </row>
    <row r="684" spans="17:25" x14ac:dyDescent="0.25">
      <c r="Q684" t="s">
        <v>132</v>
      </c>
      <c r="R684" t="s">
        <v>110</v>
      </c>
      <c r="S684">
        <v>3.6645838156786459E-2</v>
      </c>
      <c r="T684" t="s">
        <v>77</v>
      </c>
      <c r="V684" t="s">
        <v>152</v>
      </c>
      <c r="W684" t="s">
        <v>110</v>
      </c>
      <c r="X684">
        <v>2.1046214579758821E-2</v>
      </c>
      <c r="Y684" t="s">
        <v>77</v>
      </c>
    </row>
    <row r="685" spans="17:25" x14ac:dyDescent="0.25">
      <c r="Q685" t="s">
        <v>132</v>
      </c>
      <c r="R685" t="s">
        <v>111</v>
      </c>
      <c r="S685">
        <v>3.8533944070900709E-2</v>
      </c>
      <c r="T685" t="s">
        <v>77</v>
      </c>
      <c r="V685" t="s">
        <v>152</v>
      </c>
      <c r="W685" t="s">
        <v>111</v>
      </c>
      <c r="X685">
        <v>2.0247828827136341E-2</v>
      </c>
      <c r="Y685" t="s">
        <v>77</v>
      </c>
    </row>
    <row r="686" spans="17:25" x14ac:dyDescent="0.25">
      <c r="Q686" t="s">
        <v>132</v>
      </c>
      <c r="R686" t="s">
        <v>112</v>
      </c>
      <c r="S686">
        <v>3.685525700714605E-2</v>
      </c>
      <c r="T686" t="s">
        <v>77</v>
      </c>
      <c r="V686" t="s">
        <v>152</v>
      </c>
      <c r="W686" t="s">
        <v>112</v>
      </c>
      <c r="X686">
        <v>2.315558871165424E-2</v>
      </c>
      <c r="Y686" t="s">
        <v>77</v>
      </c>
    </row>
    <row r="687" spans="17:25" x14ac:dyDescent="0.25">
      <c r="Q687" t="s">
        <v>132</v>
      </c>
      <c r="R687" t="s">
        <v>113</v>
      </c>
      <c r="S687">
        <v>2.5250795256287775E-2</v>
      </c>
      <c r="T687" t="s">
        <v>77</v>
      </c>
      <c r="V687" t="s">
        <v>152</v>
      </c>
      <c r="W687" t="s">
        <v>113</v>
      </c>
      <c r="X687">
        <v>2.4236038526251839E-2</v>
      </c>
      <c r="Y687" t="s">
        <v>77</v>
      </c>
    </row>
    <row r="688" spans="17:25" x14ac:dyDescent="0.25">
      <c r="Q688" t="s">
        <v>132</v>
      </c>
      <c r="R688" t="s">
        <v>114</v>
      </c>
      <c r="S688">
        <v>7.6465007749158109E-3</v>
      </c>
      <c r="T688" t="s">
        <v>77</v>
      </c>
      <c r="V688" t="s">
        <v>152</v>
      </c>
      <c r="W688" t="s">
        <v>114</v>
      </c>
      <c r="X688">
        <v>2.6555587238579086E-2</v>
      </c>
      <c r="Y688" t="s">
        <v>77</v>
      </c>
    </row>
    <row r="689" spans="17:25" x14ac:dyDescent="0.25">
      <c r="Q689" t="s">
        <v>132</v>
      </c>
      <c r="R689" t="s">
        <v>115</v>
      </c>
      <c r="S689">
        <v>0</v>
      </c>
      <c r="T689" t="s">
        <v>77</v>
      </c>
      <c r="V689" t="s">
        <v>152</v>
      </c>
      <c r="W689" t="s">
        <v>115</v>
      </c>
      <c r="X689">
        <v>2.7497466489117762E-2</v>
      </c>
      <c r="Y689" t="s">
        <v>77</v>
      </c>
    </row>
    <row r="690" spans="17:25" x14ac:dyDescent="0.25">
      <c r="Q690" t="s">
        <v>132</v>
      </c>
      <c r="R690" t="s">
        <v>116</v>
      </c>
      <c r="S690">
        <v>0</v>
      </c>
      <c r="T690" t="s">
        <v>77</v>
      </c>
      <c r="V690" t="s">
        <v>152</v>
      </c>
      <c r="W690" t="s">
        <v>116</v>
      </c>
      <c r="X690">
        <v>3.8875092139966365E-2</v>
      </c>
      <c r="Y690" t="s">
        <v>77</v>
      </c>
    </row>
    <row r="691" spans="17:25" x14ac:dyDescent="0.25">
      <c r="Q691" t="s">
        <v>133</v>
      </c>
      <c r="R691" t="s">
        <v>76</v>
      </c>
      <c r="S691">
        <v>0</v>
      </c>
      <c r="T691" t="s">
        <v>77</v>
      </c>
      <c r="V691" t="s">
        <v>153</v>
      </c>
      <c r="W691" t="s">
        <v>76</v>
      </c>
      <c r="X691">
        <v>6.5981947041841599E-2</v>
      </c>
      <c r="Y691" t="s">
        <v>77</v>
      </c>
    </row>
    <row r="692" spans="17:25" x14ac:dyDescent="0.25">
      <c r="Q692" t="s">
        <v>133</v>
      </c>
      <c r="R692" t="s">
        <v>78</v>
      </c>
      <c r="S692">
        <v>0</v>
      </c>
      <c r="T692" t="s">
        <v>77</v>
      </c>
      <c r="V692" t="s">
        <v>153</v>
      </c>
      <c r="W692" t="s">
        <v>78</v>
      </c>
      <c r="X692">
        <v>2.6608550709235811E-2</v>
      </c>
      <c r="Y692" t="s">
        <v>77</v>
      </c>
    </row>
    <row r="693" spans="17:25" x14ac:dyDescent="0.25">
      <c r="Q693" t="s">
        <v>133</v>
      </c>
      <c r="R693" t="s">
        <v>79</v>
      </c>
      <c r="S693">
        <v>1.0062934291106042E-3</v>
      </c>
      <c r="T693" t="s">
        <v>77</v>
      </c>
      <c r="V693" t="s">
        <v>153</v>
      </c>
      <c r="W693" t="s">
        <v>79</v>
      </c>
      <c r="X693">
        <v>2.664737235555812E-2</v>
      </c>
      <c r="Y693" t="s">
        <v>77</v>
      </c>
    </row>
    <row r="694" spans="17:25" x14ac:dyDescent="0.25">
      <c r="Q694" t="s">
        <v>133</v>
      </c>
      <c r="R694" t="s">
        <v>80</v>
      </c>
      <c r="S694">
        <v>1.5780132287963947E-2</v>
      </c>
      <c r="T694" t="s">
        <v>77</v>
      </c>
      <c r="V694" t="s">
        <v>153</v>
      </c>
      <c r="W694" t="s">
        <v>80</v>
      </c>
      <c r="X694">
        <v>2.720049241019392E-2</v>
      </c>
      <c r="Y694" t="s">
        <v>77</v>
      </c>
    </row>
    <row r="695" spans="17:25" x14ac:dyDescent="0.25">
      <c r="Q695" t="s">
        <v>133</v>
      </c>
      <c r="R695" t="s">
        <v>81</v>
      </c>
      <c r="S695">
        <v>2.4316388526738064E-2</v>
      </c>
      <c r="T695" t="s">
        <v>77</v>
      </c>
      <c r="V695" t="s">
        <v>153</v>
      </c>
      <c r="W695" t="s">
        <v>81</v>
      </c>
      <c r="X695">
        <v>2.5496976931580623E-2</v>
      </c>
      <c r="Y695" t="s">
        <v>77</v>
      </c>
    </row>
    <row r="696" spans="17:25" x14ac:dyDescent="0.25">
      <c r="Q696" t="s">
        <v>133</v>
      </c>
      <c r="R696" t="s">
        <v>82</v>
      </c>
      <c r="S696">
        <v>2.3428858434883681E-2</v>
      </c>
      <c r="T696" t="s">
        <v>77</v>
      </c>
      <c r="V696" t="s">
        <v>153</v>
      </c>
      <c r="W696" t="s">
        <v>82</v>
      </c>
      <c r="X696">
        <v>2.7070573972865351E-2</v>
      </c>
      <c r="Y696" t="s">
        <v>77</v>
      </c>
    </row>
    <row r="697" spans="17:25" x14ac:dyDescent="0.25">
      <c r="Q697" t="s">
        <v>133</v>
      </c>
      <c r="R697" t="s">
        <v>83</v>
      </c>
      <c r="S697">
        <v>9.2307823672553163E-3</v>
      </c>
      <c r="T697" t="s">
        <v>77</v>
      </c>
      <c r="V697" t="s">
        <v>153</v>
      </c>
      <c r="W697" t="s">
        <v>83</v>
      </c>
      <c r="X697">
        <v>2.8507934454496394E-2</v>
      </c>
      <c r="Y697" t="s">
        <v>77</v>
      </c>
    </row>
    <row r="698" spans="17:25" x14ac:dyDescent="0.25">
      <c r="Q698" t="s">
        <v>133</v>
      </c>
      <c r="R698" t="s">
        <v>84</v>
      </c>
      <c r="S698">
        <v>5.5385951073383313E-4</v>
      </c>
      <c r="T698" t="s">
        <v>77</v>
      </c>
      <c r="V698" t="s">
        <v>153</v>
      </c>
      <c r="W698" t="s">
        <v>84</v>
      </c>
      <c r="X698">
        <v>2.9559878595220739E-2</v>
      </c>
      <c r="Y698" t="s">
        <v>77</v>
      </c>
    </row>
    <row r="699" spans="17:25" x14ac:dyDescent="0.25">
      <c r="Q699" t="s">
        <v>133</v>
      </c>
      <c r="R699" t="s">
        <v>85</v>
      </c>
      <c r="S699">
        <v>0</v>
      </c>
      <c r="T699" t="s">
        <v>77</v>
      </c>
      <c r="V699" t="s">
        <v>153</v>
      </c>
      <c r="W699" t="s">
        <v>85</v>
      </c>
      <c r="X699">
        <v>2.9718101907279186E-2</v>
      </c>
      <c r="Y699" t="s">
        <v>77</v>
      </c>
    </row>
    <row r="700" spans="17:25" x14ac:dyDescent="0.25">
      <c r="Q700" t="s">
        <v>133</v>
      </c>
      <c r="R700" t="s">
        <v>86</v>
      </c>
      <c r="S700">
        <v>0</v>
      </c>
      <c r="T700" t="s">
        <v>77</v>
      </c>
      <c r="V700" t="s">
        <v>153</v>
      </c>
      <c r="W700" t="s">
        <v>86</v>
      </c>
      <c r="X700">
        <v>4.2076489232025671E-2</v>
      </c>
      <c r="Y700" t="s">
        <v>77</v>
      </c>
    </row>
    <row r="701" spans="17:25" x14ac:dyDescent="0.25">
      <c r="Q701" t="s">
        <v>133</v>
      </c>
      <c r="R701" t="s">
        <v>87</v>
      </c>
      <c r="S701">
        <v>9.468516257938369E-7</v>
      </c>
      <c r="T701" t="s">
        <v>77</v>
      </c>
      <c r="V701" t="s">
        <v>153</v>
      </c>
      <c r="W701" t="s">
        <v>87</v>
      </c>
      <c r="X701">
        <v>5.00720484830421E-2</v>
      </c>
      <c r="Y701" t="s">
        <v>77</v>
      </c>
    </row>
    <row r="702" spans="17:25" x14ac:dyDescent="0.25">
      <c r="Q702" t="s">
        <v>133</v>
      </c>
      <c r="R702" t="s">
        <v>88</v>
      </c>
      <c r="S702">
        <v>1.2514011244556342E-2</v>
      </c>
      <c r="T702" t="s">
        <v>77</v>
      </c>
      <c r="V702" t="s">
        <v>153</v>
      </c>
      <c r="W702" t="s">
        <v>88</v>
      </c>
      <c r="X702">
        <v>1.9946418729777354E-2</v>
      </c>
      <c r="Y702" t="s">
        <v>77</v>
      </c>
    </row>
    <row r="703" spans="17:25" x14ac:dyDescent="0.25">
      <c r="Q703" t="s">
        <v>133</v>
      </c>
      <c r="R703" t="s">
        <v>89</v>
      </c>
      <c r="S703">
        <v>4.5458925859110079E-2</v>
      </c>
      <c r="T703" t="s">
        <v>77</v>
      </c>
      <c r="V703" t="s">
        <v>153</v>
      </c>
      <c r="W703" t="s">
        <v>89</v>
      </c>
      <c r="X703">
        <v>1.9455977288980408E-2</v>
      </c>
      <c r="Y703" t="s">
        <v>77</v>
      </c>
    </row>
    <row r="704" spans="17:25" x14ac:dyDescent="0.25">
      <c r="Q704" t="s">
        <v>133</v>
      </c>
      <c r="R704" t="s">
        <v>90</v>
      </c>
      <c r="S704">
        <v>6.7010581910832409E-2</v>
      </c>
      <c r="T704" t="s">
        <v>77</v>
      </c>
      <c r="V704" t="s">
        <v>153</v>
      </c>
      <c r="W704" t="s">
        <v>90</v>
      </c>
      <c r="X704">
        <v>2.1306999651432099E-2</v>
      </c>
      <c r="Y704" t="s">
        <v>77</v>
      </c>
    </row>
    <row r="705" spans="17:25" x14ac:dyDescent="0.25">
      <c r="Q705" t="s">
        <v>133</v>
      </c>
      <c r="R705" t="s">
        <v>91</v>
      </c>
      <c r="S705">
        <v>6.7621132949718415E-2</v>
      </c>
      <c r="T705" t="s">
        <v>77</v>
      </c>
      <c r="V705" t="s">
        <v>153</v>
      </c>
      <c r="W705" t="s">
        <v>91</v>
      </c>
      <c r="X705">
        <v>1.992746888222446E-2</v>
      </c>
      <c r="Y705" t="s">
        <v>77</v>
      </c>
    </row>
    <row r="706" spans="17:25" x14ac:dyDescent="0.25">
      <c r="Q706" t="s">
        <v>133</v>
      </c>
      <c r="R706" t="s">
        <v>92</v>
      </c>
      <c r="S706">
        <v>6.4321124113737208E-2</v>
      </c>
      <c r="T706" t="s">
        <v>77</v>
      </c>
      <c r="V706" t="s">
        <v>153</v>
      </c>
      <c r="W706" t="s">
        <v>92</v>
      </c>
      <c r="X706">
        <v>2.2906551421278683E-2</v>
      </c>
      <c r="Y706" t="s">
        <v>77</v>
      </c>
    </row>
    <row r="707" spans="17:25" x14ac:dyDescent="0.25">
      <c r="Q707" t="s">
        <v>133</v>
      </c>
      <c r="R707" t="s">
        <v>93</v>
      </c>
      <c r="S707">
        <v>5.0354017940661425E-2</v>
      </c>
      <c r="T707" t="s">
        <v>77</v>
      </c>
      <c r="V707" t="s">
        <v>153</v>
      </c>
      <c r="W707" t="s">
        <v>93</v>
      </c>
      <c r="X707">
        <v>2.3226834414775025E-2</v>
      </c>
      <c r="Y707" t="s">
        <v>77</v>
      </c>
    </row>
    <row r="708" spans="17:25" x14ac:dyDescent="0.25">
      <c r="Q708" t="s">
        <v>133</v>
      </c>
      <c r="R708" t="s">
        <v>94</v>
      </c>
      <c r="S708">
        <v>2.6303932618914623E-2</v>
      </c>
      <c r="T708" t="s">
        <v>77</v>
      </c>
      <c r="V708" t="s">
        <v>153</v>
      </c>
      <c r="W708" t="s">
        <v>94</v>
      </c>
      <c r="X708">
        <v>2.212850101076104E-2</v>
      </c>
      <c r="Y708" t="s">
        <v>77</v>
      </c>
    </row>
    <row r="709" spans="17:25" x14ac:dyDescent="0.25">
      <c r="Q709" t="s">
        <v>133</v>
      </c>
      <c r="R709" t="s">
        <v>95</v>
      </c>
      <c r="S709">
        <v>3.0763433611343078E-3</v>
      </c>
      <c r="T709" t="s">
        <v>77</v>
      </c>
      <c r="V709" t="s">
        <v>153</v>
      </c>
      <c r="W709" t="s">
        <v>95</v>
      </c>
      <c r="X709">
        <v>2.2937623452391476E-2</v>
      </c>
      <c r="Y709" t="s">
        <v>77</v>
      </c>
    </row>
    <row r="710" spans="17:25" x14ac:dyDescent="0.25">
      <c r="Q710" t="s">
        <v>133</v>
      </c>
      <c r="R710" t="s">
        <v>96</v>
      </c>
      <c r="S710">
        <v>0</v>
      </c>
      <c r="T710" t="s">
        <v>77</v>
      </c>
      <c r="V710" t="s">
        <v>153</v>
      </c>
      <c r="W710" t="s">
        <v>96</v>
      </c>
      <c r="X710">
        <v>3.2293184518369773E-2</v>
      </c>
      <c r="Y710" t="s">
        <v>77</v>
      </c>
    </row>
    <row r="711" spans="17:25" x14ac:dyDescent="0.25">
      <c r="Q711" t="s">
        <v>133</v>
      </c>
      <c r="R711" t="s">
        <v>97</v>
      </c>
      <c r="S711">
        <v>5.6317189560690993E-4</v>
      </c>
      <c r="T711" t="s">
        <v>77</v>
      </c>
      <c r="V711" t="s">
        <v>153</v>
      </c>
      <c r="W711" t="s">
        <v>97</v>
      </c>
      <c r="X711">
        <v>2.8669948682773998E-2</v>
      </c>
      <c r="Y711" t="s">
        <v>77</v>
      </c>
    </row>
    <row r="712" spans="17:25" x14ac:dyDescent="0.25">
      <c r="Q712" t="s">
        <v>133</v>
      </c>
      <c r="R712" t="s">
        <v>98</v>
      </c>
      <c r="S712">
        <v>2.6446710409321089E-2</v>
      </c>
      <c r="T712" t="s">
        <v>77</v>
      </c>
      <c r="V712" t="s">
        <v>153</v>
      </c>
      <c r="W712" t="s">
        <v>98</v>
      </c>
      <c r="X712">
        <v>1.1262143645087723E-2</v>
      </c>
      <c r="Y712" t="s">
        <v>77</v>
      </c>
    </row>
    <row r="713" spans="17:25" x14ac:dyDescent="0.25">
      <c r="Q713" t="s">
        <v>133</v>
      </c>
      <c r="R713" t="s">
        <v>99</v>
      </c>
      <c r="S713">
        <v>6.0205963801237536E-2</v>
      </c>
      <c r="T713" t="s">
        <v>77</v>
      </c>
      <c r="V713" t="s">
        <v>153</v>
      </c>
      <c r="W713" t="s">
        <v>99</v>
      </c>
      <c r="X713">
        <v>1.048088320277576E-2</v>
      </c>
      <c r="Y713" t="s">
        <v>77</v>
      </c>
    </row>
    <row r="714" spans="17:25" x14ac:dyDescent="0.25">
      <c r="Q714" t="s">
        <v>133</v>
      </c>
      <c r="R714" t="s">
        <v>100</v>
      </c>
      <c r="S714">
        <v>7.5823999660283983E-2</v>
      </c>
      <c r="T714" t="s">
        <v>77</v>
      </c>
      <c r="V714" t="s">
        <v>153</v>
      </c>
      <c r="W714" t="s">
        <v>100</v>
      </c>
      <c r="X714">
        <v>1.2164818039083428E-2</v>
      </c>
      <c r="Y714" t="s">
        <v>77</v>
      </c>
    </row>
    <row r="715" spans="17:25" x14ac:dyDescent="0.25">
      <c r="Q715" t="s">
        <v>133</v>
      </c>
      <c r="R715" t="s">
        <v>101</v>
      </c>
      <c r="S715">
        <v>7.6131464416738445E-2</v>
      </c>
      <c r="T715" t="s">
        <v>77</v>
      </c>
      <c r="V715" t="s">
        <v>153</v>
      </c>
      <c r="W715" t="s">
        <v>101</v>
      </c>
      <c r="X715">
        <v>1.0428080075359369E-2</v>
      </c>
      <c r="Y715" t="s">
        <v>77</v>
      </c>
    </row>
    <row r="716" spans="17:25" x14ac:dyDescent="0.25">
      <c r="Q716" t="s">
        <v>133</v>
      </c>
      <c r="R716" t="s">
        <v>102</v>
      </c>
      <c r="S716">
        <v>7.3489648967449792E-2</v>
      </c>
      <c r="T716" t="s">
        <v>77</v>
      </c>
      <c r="V716" t="s">
        <v>153</v>
      </c>
      <c r="W716" t="s">
        <v>102</v>
      </c>
      <c r="X716">
        <v>1.1976808675231512E-2</v>
      </c>
      <c r="Y716" t="s">
        <v>77</v>
      </c>
    </row>
    <row r="717" spans="17:25" x14ac:dyDescent="0.25">
      <c r="Q717" t="s">
        <v>133</v>
      </c>
      <c r="R717" t="s">
        <v>103</v>
      </c>
      <c r="S717">
        <v>6.3659714317128815E-2</v>
      </c>
      <c r="T717" t="s">
        <v>77</v>
      </c>
      <c r="V717" t="s">
        <v>153</v>
      </c>
      <c r="W717" t="s">
        <v>103</v>
      </c>
      <c r="X717">
        <v>1.2069837893879044E-2</v>
      </c>
      <c r="Y717" t="s">
        <v>77</v>
      </c>
    </row>
    <row r="718" spans="17:25" x14ac:dyDescent="0.25">
      <c r="Q718" t="s">
        <v>133</v>
      </c>
      <c r="R718" t="s">
        <v>104</v>
      </c>
      <c r="S718">
        <v>4.1663079555854972E-2</v>
      </c>
      <c r="T718" t="s">
        <v>77</v>
      </c>
      <c r="V718" t="s">
        <v>153</v>
      </c>
      <c r="W718" t="s">
        <v>104</v>
      </c>
      <c r="X718">
        <v>1.103957367385529E-2</v>
      </c>
      <c r="Y718" t="s">
        <v>77</v>
      </c>
    </row>
    <row r="719" spans="17:25" x14ac:dyDescent="0.25">
      <c r="Q719" t="s">
        <v>133</v>
      </c>
      <c r="R719" t="s">
        <v>105</v>
      </c>
      <c r="S719">
        <v>1.1306103405534156E-2</v>
      </c>
      <c r="T719" t="s">
        <v>77</v>
      </c>
      <c r="V719" t="s">
        <v>153</v>
      </c>
      <c r="W719" t="s">
        <v>105</v>
      </c>
      <c r="X719">
        <v>1.1172697801695398E-2</v>
      </c>
      <c r="Y719" t="s">
        <v>77</v>
      </c>
    </row>
    <row r="720" spans="17:25" x14ac:dyDescent="0.25">
      <c r="Q720" t="s">
        <v>133</v>
      </c>
      <c r="R720" t="s">
        <v>106</v>
      </c>
      <c r="S720">
        <v>0</v>
      </c>
      <c r="T720" t="s">
        <v>77</v>
      </c>
      <c r="V720" t="s">
        <v>153</v>
      </c>
      <c r="W720" t="s">
        <v>106</v>
      </c>
      <c r="X720">
        <v>1.7671437862093006E-2</v>
      </c>
      <c r="Y720" t="s">
        <v>77</v>
      </c>
    </row>
    <row r="721" spans="17:25" x14ac:dyDescent="0.25">
      <c r="Q721" t="s">
        <v>133</v>
      </c>
      <c r="R721" t="s">
        <v>107</v>
      </c>
      <c r="S721">
        <v>0</v>
      </c>
      <c r="T721" t="s">
        <v>77</v>
      </c>
      <c r="V721" t="s">
        <v>153</v>
      </c>
      <c r="W721" t="s">
        <v>107</v>
      </c>
      <c r="X721">
        <v>5.3402036170419151E-2</v>
      </c>
      <c r="Y721" t="s">
        <v>77</v>
      </c>
    </row>
    <row r="722" spans="17:25" x14ac:dyDescent="0.25">
      <c r="Q722" t="s">
        <v>133</v>
      </c>
      <c r="R722" t="s">
        <v>108</v>
      </c>
      <c r="S722">
        <v>1.4394091864683987E-3</v>
      </c>
      <c r="T722" t="s">
        <v>77</v>
      </c>
      <c r="V722" t="s">
        <v>153</v>
      </c>
      <c r="W722" t="s">
        <v>108</v>
      </c>
      <c r="X722">
        <v>2.1487876303817485E-2</v>
      </c>
      <c r="Y722" t="s">
        <v>77</v>
      </c>
    </row>
    <row r="723" spans="17:25" x14ac:dyDescent="0.25">
      <c r="Q723" t="s">
        <v>133</v>
      </c>
      <c r="R723" t="s">
        <v>109</v>
      </c>
      <c r="S723">
        <v>1.7890658104091815E-2</v>
      </c>
      <c r="T723" t="s">
        <v>77</v>
      </c>
      <c r="V723" t="s">
        <v>153</v>
      </c>
      <c r="W723" t="s">
        <v>109</v>
      </c>
      <c r="X723">
        <v>2.2721465694957827E-2</v>
      </c>
      <c r="Y723" t="s">
        <v>77</v>
      </c>
    </row>
    <row r="724" spans="17:25" x14ac:dyDescent="0.25">
      <c r="Q724" t="s">
        <v>133</v>
      </c>
      <c r="R724" t="s">
        <v>110</v>
      </c>
      <c r="S724">
        <v>3.4334208330579895E-2</v>
      </c>
      <c r="T724" t="s">
        <v>77</v>
      </c>
      <c r="V724" t="s">
        <v>153</v>
      </c>
      <c r="W724" t="s">
        <v>110</v>
      </c>
      <c r="X724">
        <v>2.4896973800538642E-2</v>
      </c>
      <c r="Y724" t="s">
        <v>77</v>
      </c>
    </row>
    <row r="725" spans="17:25" x14ac:dyDescent="0.25">
      <c r="Q725" t="s">
        <v>133</v>
      </c>
      <c r="R725" t="s">
        <v>111</v>
      </c>
      <c r="S725">
        <v>3.8042365559812739E-2</v>
      </c>
      <c r="T725" t="s">
        <v>77</v>
      </c>
      <c r="V725" t="s">
        <v>153</v>
      </c>
      <c r="W725" t="s">
        <v>111</v>
      </c>
      <c r="X725">
        <v>2.36702828854841E-2</v>
      </c>
      <c r="Y725" t="s">
        <v>77</v>
      </c>
    </row>
    <row r="726" spans="17:25" x14ac:dyDescent="0.25">
      <c r="Q726" t="s">
        <v>133</v>
      </c>
      <c r="R726" t="s">
        <v>112</v>
      </c>
      <c r="S726">
        <v>3.7195540922675054E-2</v>
      </c>
      <c r="T726" t="s">
        <v>77</v>
      </c>
      <c r="V726" t="s">
        <v>153</v>
      </c>
      <c r="W726" t="s">
        <v>112</v>
      </c>
      <c r="X726">
        <v>2.4612203425615042E-2</v>
      </c>
      <c r="Y726" t="s">
        <v>77</v>
      </c>
    </row>
    <row r="727" spans="17:25" x14ac:dyDescent="0.25">
      <c r="Q727" t="s">
        <v>133</v>
      </c>
      <c r="R727" t="s">
        <v>113</v>
      </c>
      <c r="S727">
        <v>2.4442281385887638E-2</v>
      </c>
      <c r="T727" t="s">
        <v>77</v>
      </c>
      <c r="V727" t="s">
        <v>153</v>
      </c>
      <c r="W727" t="s">
        <v>113</v>
      </c>
      <c r="X727">
        <v>2.4034655133378751E-2</v>
      </c>
      <c r="Y727" t="s">
        <v>77</v>
      </c>
    </row>
    <row r="728" spans="17:25" x14ac:dyDescent="0.25">
      <c r="Q728" t="s">
        <v>133</v>
      </c>
      <c r="R728" t="s">
        <v>114</v>
      </c>
      <c r="S728">
        <v>6.3883486743517128E-3</v>
      </c>
      <c r="T728" t="s">
        <v>77</v>
      </c>
      <c r="V728" t="s">
        <v>153</v>
      </c>
      <c r="W728" t="s">
        <v>114</v>
      </c>
      <c r="X728">
        <v>2.4275661210240915E-2</v>
      </c>
      <c r="Y728" t="s">
        <v>77</v>
      </c>
    </row>
    <row r="729" spans="17:25" x14ac:dyDescent="0.25">
      <c r="Q729" t="s">
        <v>133</v>
      </c>
      <c r="R729" t="s">
        <v>115</v>
      </c>
      <c r="S729">
        <v>0</v>
      </c>
      <c r="T729" t="s">
        <v>77</v>
      </c>
      <c r="V729" t="s">
        <v>153</v>
      </c>
      <c r="W729" t="s">
        <v>115</v>
      </c>
      <c r="X729">
        <v>2.4975967700856107E-2</v>
      </c>
      <c r="Y729" t="s">
        <v>77</v>
      </c>
    </row>
    <row r="730" spans="17:25" x14ac:dyDescent="0.25">
      <c r="Q730" t="s">
        <v>133</v>
      </c>
      <c r="R730" t="s">
        <v>116</v>
      </c>
      <c r="S730">
        <v>0</v>
      </c>
      <c r="T730" t="s">
        <v>77</v>
      </c>
      <c r="V730" t="s">
        <v>153</v>
      </c>
      <c r="W730" t="s">
        <v>116</v>
      </c>
      <c r="X730">
        <v>3.5916722659527882E-2</v>
      </c>
      <c r="Y730" t="s">
        <v>77</v>
      </c>
    </row>
    <row r="731" spans="17:25" x14ac:dyDescent="0.25">
      <c r="Q731" t="s">
        <v>134</v>
      </c>
      <c r="R731" t="s">
        <v>76</v>
      </c>
      <c r="S731">
        <v>0</v>
      </c>
      <c r="T731" t="s">
        <v>77</v>
      </c>
      <c r="V731" t="s">
        <v>154</v>
      </c>
      <c r="W731" t="s">
        <v>76</v>
      </c>
      <c r="X731">
        <v>7.3381509605628684E-2</v>
      </c>
      <c r="Y731" t="s">
        <v>77</v>
      </c>
    </row>
    <row r="732" spans="17:25" x14ac:dyDescent="0.25">
      <c r="Q732" t="s">
        <v>134</v>
      </c>
      <c r="R732" t="s">
        <v>78</v>
      </c>
      <c r="S732">
        <v>0</v>
      </c>
      <c r="T732" t="s">
        <v>77</v>
      </c>
      <c r="V732" t="s">
        <v>154</v>
      </c>
      <c r="W732" t="s">
        <v>78</v>
      </c>
      <c r="X732">
        <v>2.9505318758104492E-2</v>
      </c>
      <c r="Y732" t="s">
        <v>77</v>
      </c>
    </row>
    <row r="733" spans="17:25" x14ac:dyDescent="0.25">
      <c r="Q733" t="s">
        <v>134</v>
      </c>
      <c r="R733" t="s">
        <v>79</v>
      </c>
      <c r="S733">
        <v>1.2910787409097766E-3</v>
      </c>
      <c r="T733" t="s">
        <v>77</v>
      </c>
      <c r="V733" t="s">
        <v>154</v>
      </c>
      <c r="W733" t="s">
        <v>79</v>
      </c>
      <c r="X733">
        <v>2.9767684275588478E-2</v>
      </c>
      <c r="Y733" t="s">
        <v>77</v>
      </c>
    </row>
    <row r="734" spans="17:25" x14ac:dyDescent="0.25">
      <c r="Q734" t="s">
        <v>134</v>
      </c>
      <c r="R734" t="s">
        <v>80</v>
      </c>
      <c r="S734">
        <v>1.87790493018287E-2</v>
      </c>
      <c r="T734" t="s">
        <v>77</v>
      </c>
      <c r="V734" t="s">
        <v>154</v>
      </c>
      <c r="W734" t="s">
        <v>80</v>
      </c>
      <c r="X734">
        <v>2.934084310460499E-2</v>
      </c>
      <c r="Y734" t="s">
        <v>77</v>
      </c>
    </row>
    <row r="735" spans="17:25" x14ac:dyDescent="0.25">
      <c r="Q735" t="s">
        <v>134</v>
      </c>
      <c r="R735" t="s">
        <v>81</v>
      </c>
      <c r="S735">
        <v>2.7127134111631236E-2</v>
      </c>
      <c r="T735" t="s">
        <v>77</v>
      </c>
      <c r="V735" t="s">
        <v>154</v>
      </c>
      <c r="W735" t="s">
        <v>81</v>
      </c>
      <c r="X735">
        <v>2.7707980596433871E-2</v>
      </c>
      <c r="Y735" t="s">
        <v>77</v>
      </c>
    </row>
    <row r="736" spans="17:25" x14ac:dyDescent="0.25">
      <c r="Q736" t="s">
        <v>134</v>
      </c>
      <c r="R736" t="s">
        <v>82</v>
      </c>
      <c r="S736">
        <v>2.6653939090073735E-2</v>
      </c>
      <c r="T736" t="s">
        <v>77</v>
      </c>
      <c r="V736" t="s">
        <v>154</v>
      </c>
      <c r="W736" t="s">
        <v>82</v>
      </c>
      <c r="X736">
        <v>2.8947542606666387E-2</v>
      </c>
      <c r="Y736" t="s">
        <v>77</v>
      </c>
    </row>
    <row r="737" spans="17:25" x14ac:dyDescent="0.25">
      <c r="Q737" t="s">
        <v>134</v>
      </c>
      <c r="R737" t="s">
        <v>83</v>
      </c>
      <c r="S737">
        <v>1.1512155159833688E-2</v>
      </c>
      <c r="T737" t="s">
        <v>77</v>
      </c>
      <c r="V737" t="s">
        <v>154</v>
      </c>
      <c r="W737" t="s">
        <v>83</v>
      </c>
      <c r="X737">
        <v>3.1112117322235001E-2</v>
      </c>
      <c r="Y737" t="s">
        <v>77</v>
      </c>
    </row>
    <row r="738" spans="17:25" x14ac:dyDescent="0.25">
      <c r="Q738" t="s">
        <v>134</v>
      </c>
      <c r="R738" t="s">
        <v>84</v>
      </c>
      <c r="S738">
        <v>7.0698694884020123E-4</v>
      </c>
      <c r="T738" t="s">
        <v>77</v>
      </c>
      <c r="V738" t="s">
        <v>154</v>
      </c>
      <c r="W738" t="s">
        <v>84</v>
      </c>
      <c r="X738">
        <v>3.2784204063002163E-2</v>
      </c>
      <c r="Y738" t="s">
        <v>77</v>
      </c>
    </row>
    <row r="739" spans="17:25" x14ac:dyDescent="0.25">
      <c r="Q739" t="s">
        <v>134</v>
      </c>
      <c r="R739" t="s">
        <v>85</v>
      </c>
      <c r="S739">
        <v>0</v>
      </c>
      <c r="T739" t="s">
        <v>77</v>
      </c>
      <c r="V739" t="s">
        <v>154</v>
      </c>
      <c r="W739" t="s">
        <v>85</v>
      </c>
      <c r="X739">
        <v>3.2322455417354207E-2</v>
      </c>
      <c r="Y739" t="s">
        <v>77</v>
      </c>
    </row>
    <row r="740" spans="17:25" x14ac:dyDescent="0.25">
      <c r="Q740" t="s">
        <v>134</v>
      </c>
      <c r="R740" t="s">
        <v>86</v>
      </c>
      <c r="S740">
        <v>0</v>
      </c>
      <c r="T740" t="s">
        <v>77</v>
      </c>
      <c r="V740" t="s">
        <v>154</v>
      </c>
      <c r="W740" t="s">
        <v>86</v>
      </c>
      <c r="X740">
        <v>4.5326192381895732E-2</v>
      </c>
      <c r="Y740" t="s">
        <v>77</v>
      </c>
    </row>
    <row r="741" spans="17:25" x14ac:dyDescent="0.25">
      <c r="Q741" t="s">
        <v>134</v>
      </c>
      <c r="R741" t="s">
        <v>87</v>
      </c>
      <c r="S741">
        <v>0</v>
      </c>
      <c r="T741" t="s">
        <v>77</v>
      </c>
      <c r="V741" t="s">
        <v>154</v>
      </c>
      <c r="W741" t="s">
        <v>87</v>
      </c>
      <c r="X741">
        <v>5.5652210814086889E-2</v>
      </c>
      <c r="Y741" t="s">
        <v>77</v>
      </c>
    </row>
    <row r="742" spans="17:25" x14ac:dyDescent="0.25">
      <c r="Q742" t="s">
        <v>134</v>
      </c>
      <c r="R742" t="s">
        <v>88</v>
      </c>
      <c r="S742">
        <v>1.1268229362067105E-2</v>
      </c>
      <c r="T742" t="s">
        <v>77</v>
      </c>
      <c r="V742" t="s">
        <v>154</v>
      </c>
      <c r="W742" t="s">
        <v>88</v>
      </c>
      <c r="X742">
        <v>2.0846281360218592E-2</v>
      </c>
      <c r="Y742" t="s">
        <v>77</v>
      </c>
    </row>
    <row r="743" spans="17:25" x14ac:dyDescent="0.25">
      <c r="Q743" t="s">
        <v>134</v>
      </c>
      <c r="R743" t="s">
        <v>89</v>
      </c>
      <c r="S743">
        <v>4.3236601541690796E-2</v>
      </c>
      <c r="T743" t="s">
        <v>77</v>
      </c>
      <c r="V743" t="s">
        <v>154</v>
      </c>
      <c r="W743" t="s">
        <v>89</v>
      </c>
      <c r="X743">
        <v>1.7347407544056299E-2</v>
      </c>
      <c r="Y743" t="s">
        <v>77</v>
      </c>
    </row>
    <row r="744" spans="17:25" x14ac:dyDescent="0.25">
      <c r="Q744" t="s">
        <v>134</v>
      </c>
      <c r="R744" t="s">
        <v>90</v>
      </c>
      <c r="S744">
        <v>6.4327019080645101E-2</v>
      </c>
      <c r="T744" t="s">
        <v>77</v>
      </c>
      <c r="V744" t="s">
        <v>154</v>
      </c>
      <c r="W744" t="s">
        <v>90</v>
      </c>
      <c r="X744">
        <v>1.6707546252517077E-2</v>
      </c>
      <c r="Y744" t="s">
        <v>77</v>
      </c>
    </row>
    <row r="745" spans="17:25" x14ac:dyDescent="0.25">
      <c r="Q745" t="s">
        <v>134</v>
      </c>
      <c r="R745" t="s">
        <v>91</v>
      </c>
      <c r="S745">
        <v>6.5659654169567719E-2</v>
      </c>
      <c r="T745" t="s">
        <v>77</v>
      </c>
      <c r="V745" t="s">
        <v>154</v>
      </c>
      <c r="W745" t="s">
        <v>91</v>
      </c>
      <c r="X745">
        <v>1.5611952728724149E-2</v>
      </c>
      <c r="Y745" t="s">
        <v>77</v>
      </c>
    </row>
    <row r="746" spans="17:25" x14ac:dyDescent="0.25">
      <c r="Q746" t="s">
        <v>134</v>
      </c>
      <c r="R746" t="s">
        <v>92</v>
      </c>
      <c r="S746">
        <v>6.2588074427337492E-2</v>
      </c>
      <c r="T746" t="s">
        <v>77</v>
      </c>
      <c r="V746" t="s">
        <v>154</v>
      </c>
      <c r="W746" t="s">
        <v>92</v>
      </c>
      <c r="X746">
        <v>1.8082540172834456E-2</v>
      </c>
      <c r="Y746" t="s">
        <v>77</v>
      </c>
    </row>
    <row r="747" spans="17:25" x14ac:dyDescent="0.25">
      <c r="Q747" t="s">
        <v>134</v>
      </c>
      <c r="R747" t="s">
        <v>93</v>
      </c>
      <c r="S747">
        <v>4.9402568186525206E-2</v>
      </c>
      <c r="T747" t="s">
        <v>77</v>
      </c>
      <c r="V747" t="s">
        <v>154</v>
      </c>
      <c r="W747" t="s">
        <v>93</v>
      </c>
      <c r="X747">
        <v>1.9587828798770936E-2</v>
      </c>
      <c r="Y747" t="s">
        <v>77</v>
      </c>
    </row>
    <row r="748" spans="17:25" x14ac:dyDescent="0.25">
      <c r="Q748" t="s">
        <v>134</v>
      </c>
      <c r="R748" t="s">
        <v>94</v>
      </c>
      <c r="S748">
        <v>2.4946220147590896E-2</v>
      </c>
      <c r="T748" t="s">
        <v>77</v>
      </c>
      <c r="V748" t="s">
        <v>154</v>
      </c>
      <c r="W748" t="s">
        <v>94</v>
      </c>
      <c r="X748">
        <v>2.000381332100936E-2</v>
      </c>
      <c r="Y748" t="s">
        <v>77</v>
      </c>
    </row>
    <row r="749" spans="17:25" x14ac:dyDescent="0.25">
      <c r="Q749" t="s">
        <v>134</v>
      </c>
      <c r="R749" t="s">
        <v>95</v>
      </c>
      <c r="S749">
        <v>2.6921864558731483E-3</v>
      </c>
      <c r="T749" t="s">
        <v>77</v>
      </c>
      <c r="V749" t="s">
        <v>154</v>
      </c>
      <c r="W749" t="s">
        <v>95</v>
      </c>
      <c r="X749">
        <v>2.294557594225682E-2</v>
      </c>
      <c r="Y749" t="s">
        <v>77</v>
      </c>
    </row>
    <row r="750" spans="17:25" x14ac:dyDescent="0.25">
      <c r="Q750" t="s">
        <v>134</v>
      </c>
      <c r="R750" t="s">
        <v>96</v>
      </c>
      <c r="S750">
        <v>0</v>
      </c>
      <c r="T750" t="s">
        <v>77</v>
      </c>
      <c r="V750" t="s">
        <v>154</v>
      </c>
      <c r="W750" t="s">
        <v>96</v>
      </c>
      <c r="X750">
        <v>3.5047104176664193E-2</v>
      </c>
      <c r="Y750" t="s">
        <v>77</v>
      </c>
    </row>
    <row r="751" spans="17:25" x14ac:dyDescent="0.25">
      <c r="Q751" t="s">
        <v>134</v>
      </c>
      <c r="R751" t="s">
        <v>97</v>
      </c>
      <c r="S751">
        <v>0</v>
      </c>
      <c r="T751" t="s">
        <v>77</v>
      </c>
      <c r="V751" t="s">
        <v>154</v>
      </c>
      <c r="W751" t="s">
        <v>97</v>
      </c>
      <c r="X751">
        <v>2.8884886753418416E-2</v>
      </c>
      <c r="Y751" t="s">
        <v>77</v>
      </c>
    </row>
    <row r="752" spans="17:25" x14ac:dyDescent="0.25">
      <c r="Q752" t="s">
        <v>134</v>
      </c>
      <c r="R752" t="s">
        <v>98</v>
      </c>
      <c r="S752">
        <v>2.4404483243434524E-2</v>
      </c>
      <c r="T752" t="s">
        <v>77</v>
      </c>
      <c r="V752" t="s">
        <v>154</v>
      </c>
      <c r="W752" t="s">
        <v>98</v>
      </c>
      <c r="X752">
        <v>1.0487660700405762E-2</v>
      </c>
      <c r="Y752" t="s">
        <v>77</v>
      </c>
    </row>
    <row r="753" spans="17:25" x14ac:dyDescent="0.25">
      <c r="Q753" t="s">
        <v>134</v>
      </c>
      <c r="R753" t="s">
        <v>99</v>
      </c>
      <c r="S753">
        <v>5.817121441226078E-2</v>
      </c>
      <c r="T753" t="s">
        <v>77</v>
      </c>
      <c r="V753" t="s">
        <v>154</v>
      </c>
      <c r="W753" t="s">
        <v>99</v>
      </c>
      <c r="X753">
        <v>9.0042071246191537E-3</v>
      </c>
      <c r="Y753" t="s">
        <v>77</v>
      </c>
    </row>
    <row r="754" spans="17:25" x14ac:dyDescent="0.25">
      <c r="Q754" t="s">
        <v>134</v>
      </c>
      <c r="R754" t="s">
        <v>100</v>
      </c>
      <c r="S754">
        <v>7.5337889870781438E-2</v>
      </c>
      <c r="T754" t="s">
        <v>77</v>
      </c>
      <c r="V754" t="s">
        <v>154</v>
      </c>
      <c r="W754" t="s">
        <v>100</v>
      </c>
      <c r="X754">
        <v>1.04615934562781E-2</v>
      </c>
      <c r="Y754" t="s">
        <v>77</v>
      </c>
    </row>
    <row r="755" spans="17:25" x14ac:dyDescent="0.25">
      <c r="Q755" t="s">
        <v>134</v>
      </c>
      <c r="R755" t="s">
        <v>101</v>
      </c>
      <c r="S755">
        <v>7.5584328404453102E-2</v>
      </c>
      <c r="T755" t="s">
        <v>77</v>
      </c>
      <c r="V755" t="s">
        <v>154</v>
      </c>
      <c r="W755" t="s">
        <v>101</v>
      </c>
      <c r="X755">
        <v>8.690125985993967E-3</v>
      </c>
      <c r="Y755" t="s">
        <v>77</v>
      </c>
    </row>
    <row r="756" spans="17:25" x14ac:dyDescent="0.25">
      <c r="Q756" t="s">
        <v>134</v>
      </c>
      <c r="R756" t="s">
        <v>102</v>
      </c>
      <c r="S756">
        <v>7.3023903261710141E-2</v>
      </c>
      <c r="T756" t="s">
        <v>77</v>
      </c>
      <c r="V756" t="s">
        <v>154</v>
      </c>
      <c r="W756" t="s">
        <v>102</v>
      </c>
      <c r="X756">
        <v>9.898701845868961E-3</v>
      </c>
      <c r="Y756" t="s">
        <v>77</v>
      </c>
    </row>
    <row r="757" spans="17:25" x14ac:dyDescent="0.25">
      <c r="Q757" t="s">
        <v>134</v>
      </c>
      <c r="R757" t="s">
        <v>103</v>
      </c>
      <c r="S757">
        <v>6.2789124875382754E-2</v>
      </c>
      <c r="T757" t="s">
        <v>77</v>
      </c>
      <c r="V757" t="s">
        <v>154</v>
      </c>
      <c r="W757" t="s">
        <v>103</v>
      </c>
      <c r="X757">
        <v>1.1044594775385972E-2</v>
      </c>
      <c r="Y757" t="s">
        <v>77</v>
      </c>
    </row>
    <row r="758" spans="17:25" x14ac:dyDescent="0.25">
      <c r="Q758" t="s">
        <v>134</v>
      </c>
      <c r="R758" t="s">
        <v>104</v>
      </c>
      <c r="S758">
        <v>3.9633661339535144E-2</v>
      </c>
      <c r="T758" t="s">
        <v>77</v>
      </c>
      <c r="V758" t="s">
        <v>154</v>
      </c>
      <c r="W758" t="s">
        <v>104</v>
      </c>
      <c r="X758">
        <v>1.0098392227961281E-2</v>
      </c>
      <c r="Y758" t="s">
        <v>77</v>
      </c>
    </row>
    <row r="759" spans="17:25" x14ac:dyDescent="0.25">
      <c r="Q759" t="s">
        <v>134</v>
      </c>
      <c r="R759" t="s">
        <v>105</v>
      </c>
      <c r="S759">
        <v>1.0643735897258203E-2</v>
      </c>
      <c r="T759" t="s">
        <v>77</v>
      </c>
      <c r="V759" t="s">
        <v>154</v>
      </c>
      <c r="W759" t="s">
        <v>105</v>
      </c>
      <c r="X759">
        <v>1.1086436603203556E-2</v>
      </c>
      <c r="Y759" t="s">
        <v>77</v>
      </c>
    </row>
    <row r="760" spans="17:25" x14ac:dyDescent="0.25">
      <c r="Q760" t="s">
        <v>134</v>
      </c>
      <c r="R760" t="s">
        <v>106</v>
      </c>
      <c r="S760">
        <v>0</v>
      </c>
      <c r="T760" t="s">
        <v>77</v>
      </c>
      <c r="V760" t="s">
        <v>154</v>
      </c>
      <c r="W760" t="s">
        <v>106</v>
      </c>
      <c r="X760">
        <v>1.8039866701691783E-2</v>
      </c>
      <c r="Y760" t="s">
        <v>77</v>
      </c>
    </row>
    <row r="761" spans="17:25" x14ac:dyDescent="0.25">
      <c r="Q761" t="s">
        <v>134</v>
      </c>
      <c r="R761" t="s">
        <v>107</v>
      </c>
      <c r="S761">
        <v>0</v>
      </c>
      <c r="T761" t="s">
        <v>77</v>
      </c>
      <c r="V761" t="s">
        <v>154</v>
      </c>
      <c r="W761" t="s">
        <v>107</v>
      </c>
      <c r="X761">
        <v>5.4088315239516446E-2</v>
      </c>
      <c r="Y761" t="s">
        <v>77</v>
      </c>
    </row>
    <row r="762" spans="17:25" x14ac:dyDescent="0.25">
      <c r="Q762" t="s">
        <v>134</v>
      </c>
      <c r="R762" t="s">
        <v>108</v>
      </c>
      <c r="S762">
        <v>1.39672268858783E-3</v>
      </c>
      <c r="T762" t="s">
        <v>77</v>
      </c>
      <c r="V762" t="s">
        <v>154</v>
      </c>
      <c r="W762" t="s">
        <v>108</v>
      </c>
      <c r="X762">
        <v>2.0843031513146665E-2</v>
      </c>
      <c r="Y762" t="s">
        <v>77</v>
      </c>
    </row>
    <row r="763" spans="17:25" x14ac:dyDescent="0.25">
      <c r="Q763" t="s">
        <v>134</v>
      </c>
      <c r="R763" t="s">
        <v>109</v>
      </c>
      <c r="S763">
        <v>1.8945189785716361E-2</v>
      </c>
      <c r="T763" t="s">
        <v>77</v>
      </c>
      <c r="V763" t="s">
        <v>154</v>
      </c>
      <c r="W763" t="s">
        <v>109</v>
      </c>
      <c r="X763">
        <v>2.0398716645836892E-2</v>
      </c>
      <c r="Y763" t="s">
        <v>77</v>
      </c>
    </row>
    <row r="764" spans="17:25" x14ac:dyDescent="0.25">
      <c r="Q764" t="s">
        <v>134</v>
      </c>
      <c r="R764" t="s">
        <v>110</v>
      </c>
      <c r="S764">
        <v>3.8268112035862896E-2</v>
      </c>
      <c r="T764" t="s">
        <v>77</v>
      </c>
      <c r="V764" t="s">
        <v>154</v>
      </c>
      <c r="W764" t="s">
        <v>110</v>
      </c>
      <c r="X764">
        <v>2.0297879298847583E-2</v>
      </c>
      <c r="Y764" t="s">
        <v>77</v>
      </c>
    </row>
    <row r="765" spans="17:25" x14ac:dyDescent="0.25">
      <c r="Q765" t="s">
        <v>134</v>
      </c>
      <c r="R765" t="s">
        <v>111</v>
      </c>
      <c r="S765">
        <v>3.9433370386986473E-2</v>
      </c>
      <c r="T765" t="s">
        <v>77</v>
      </c>
      <c r="V765" t="s">
        <v>154</v>
      </c>
      <c r="W765" t="s">
        <v>111</v>
      </c>
      <c r="X765">
        <v>1.9132950738642063E-2</v>
      </c>
      <c r="Y765" t="s">
        <v>77</v>
      </c>
    </row>
    <row r="766" spans="17:25" x14ac:dyDescent="0.25">
      <c r="Q766" t="s">
        <v>134</v>
      </c>
      <c r="R766" t="s">
        <v>112</v>
      </c>
      <c r="S766">
        <v>3.9583801960938199E-2</v>
      </c>
      <c r="T766" t="s">
        <v>77</v>
      </c>
      <c r="V766" t="s">
        <v>154</v>
      </c>
      <c r="W766" t="s">
        <v>112</v>
      </c>
      <c r="X766">
        <v>2.1848380311331437E-2</v>
      </c>
      <c r="Y766" t="s">
        <v>77</v>
      </c>
    </row>
    <row r="767" spans="17:25" x14ac:dyDescent="0.25">
      <c r="Q767" t="s">
        <v>134</v>
      </c>
      <c r="R767" t="s">
        <v>113</v>
      </c>
      <c r="S767">
        <v>2.5731212925102418E-2</v>
      </c>
      <c r="T767" t="s">
        <v>77</v>
      </c>
      <c r="V767" t="s">
        <v>154</v>
      </c>
      <c r="W767" t="s">
        <v>113</v>
      </c>
      <c r="X767">
        <v>2.3432296913559029E-2</v>
      </c>
      <c r="Y767" t="s">
        <v>77</v>
      </c>
    </row>
    <row r="768" spans="17:25" x14ac:dyDescent="0.25">
      <c r="Q768" t="s">
        <v>134</v>
      </c>
      <c r="R768" t="s">
        <v>114</v>
      </c>
      <c r="S768">
        <v>6.862352187573903E-3</v>
      </c>
      <c r="T768" t="s">
        <v>77</v>
      </c>
      <c r="V768" t="s">
        <v>154</v>
      </c>
      <c r="W768" t="s">
        <v>114</v>
      </c>
      <c r="X768">
        <v>2.6012134291100678E-2</v>
      </c>
      <c r="Y768" t="s">
        <v>77</v>
      </c>
    </row>
    <row r="769" spans="17:25" x14ac:dyDescent="0.25">
      <c r="Q769" t="s">
        <v>134</v>
      </c>
      <c r="R769" t="s">
        <v>115</v>
      </c>
      <c r="S769">
        <v>0</v>
      </c>
      <c r="T769" t="s">
        <v>77</v>
      </c>
      <c r="V769" t="s">
        <v>154</v>
      </c>
      <c r="W769" t="s">
        <v>115</v>
      </c>
      <c r="X769">
        <v>2.6646459052111039E-2</v>
      </c>
      <c r="Y769" t="s">
        <v>77</v>
      </c>
    </row>
    <row r="770" spans="17:25" x14ac:dyDescent="0.25">
      <c r="Q770" t="s">
        <v>134</v>
      </c>
      <c r="R770" t="s">
        <v>116</v>
      </c>
      <c r="S770">
        <v>0</v>
      </c>
      <c r="T770" t="s">
        <v>77</v>
      </c>
      <c r="V770" t="s">
        <v>154</v>
      </c>
      <c r="W770" t="s">
        <v>116</v>
      </c>
      <c r="X770">
        <v>3.7575260578430379E-2</v>
      </c>
      <c r="Y770" t="s">
        <v>77</v>
      </c>
    </row>
    <row r="771" spans="17:25" x14ac:dyDescent="0.25">
      <c r="Q771" t="s">
        <v>135</v>
      </c>
      <c r="R771" t="s">
        <v>76</v>
      </c>
      <c r="S771">
        <v>0</v>
      </c>
      <c r="T771" t="s">
        <v>77</v>
      </c>
      <c r="V771" t="s">
        <v>155</v>
      </c>
      <c r="W771" t="s">
        <v>76</v>
      </c>
      <c r="X771">
        <v>7.4909961759666785E-2</v>
      </c>
      <c r="Y771" t="s">
        <v>77</v>
      </c>
    </row>
    <row r="772" spans="17:25" x14ac:dyDescent="0.25">
      <c r="Q772" t="s">
        <v>135</v>
      </c>
      <c r="R772" t="s">
        <v>78</v>
      </c>
      <c r="S772">
        <v>0</v>
      </c>
      <c r="T772" t="s">
        <v>77</v>
      </c>
      <c r="V772" t="s">
        <v>155</v>
      </c>
      <c r="W772" t="s">
        <v>78</v>
      </c>
      <c r="X772">
        <v>3.0511650496057564E-2</v>
      </c>
      <c r="Y772" t="s">
        <v>77</v>
      </c>
    </row>
    <row r="773" spans="17:25" x14ac:dyDescent="0.25">
      <c r="Q773" t="s">
        <v>135</v>
      </c>
      <c r="R773" t="s">
        <v>79</v>
      </c>
      <c r="S773">
        <v>1.3341028691204282E-3</v>
      </c>
      <c r="T773" t="s">
        <v>77</v>
      </c>
      <c r="V773" t="s">
        <v>155</v>
      </c>
      <c r="W773" t="s">
        <v>79</v>
      </c>
      <c r="X773">
        <v>3.0651779820420982E-2</v>
      </c>
      <c r="Y773" t="s">
        <v>77</v>
      </c>
    </row>
    <row r="774" spans="17:25" x14ac:dyDescent="0.25">
      <c r="Q774" t="s">
        <v>135</v>
      </c>
      <c r="R774" t="s">
        <v>80</v>
      </c>
      <c r="S774">
        <v>1.7440083533947003E-2</v>
      </c>
      <c r="T774" t="s">
        <v>77</v>
      </c>
      <c r="V774" t="s">
        <v>155</v>
      </c>
      <c r="W774" t="s">
        <v>80</v>
      </c>
      <c r="X774">
        <v>2.9977891615865376E-2</v>
      </c>
      <c r="Y774" t="s">
        <v>77</v>
      </c>
    </row>
    <row r="775" spans="17:25" x14ac:dyDescent="0.25">
      <c r="Q775" t="s">
        <v>135</v>
      </c>
      <c r="R775" t="s">
        <v>81</v>
      </c>
      <c r="S775">
        <v>2.5411916507828924E-2</v>
      </c>
      <c r="T775" t="s">
        <v>77</v>
      </c>
      <c r="V775" t="s">
        <v>155</v>
      </c>
      <c r="W775" t="s">
        <v>81</v>
      </c>
      <c r="X775">
        <v>2.7737052233814789E-2</v>
      </c>
      <c r="Y775" t="s">
        <v>77</v>
      </c>
    </row>
    <row r="776" spans="17:25" x14ac:dyDescent="0.25">
      <c r="Q776" t="s">
        <v>135</v>
      </c>
      <c r="R776" t="s">
        <v>82</v>
      </c>
      <c r="S776">
        <v>2.4596440096521937E-2</v>
      </c>
      <c r="T776" t="s">
        <v>77</v>
      </c>
      <c r="V776" t="s">
        <v>155</v>
      </c>
      <c r="W776" t="s">
        <v>82</v>
      </c>
      <c r="X776">
        <v>2.839504190680911E-2</v>
      </c>
      <c r="Y776" t="s">
        <v>77</v>
      </c>
    </row>
    <row r="777" spans="17:25" x14ac:dyDescent="0.25">
      <c r="Q777" t="s">
        <v>135</v>
      </c>
      <c r="R777" t="s">
        <v>83</v>
      </c>
      <c r="S777">
        <v>9.2562385633790292E-3</v>
      </c>
      <c r="T777" t="s">
        <v>77</v>
      </c>
      <c r="V777" t="s">
        <v>155</v>
      </c>
      <c r="W777" t="s">
        <v>83</v>
      </c>
      <c r="X777">
        <v>3.093490393783568E-2</v>
      </c>
      <c r="Y777" t="s">
        <v>77</v>
      </c>
    </row>
    <row r="778" spans="17:25" x14ac:dyDescent="0.25">
      <c r="Q778" t="s">
        <v>135</v>
      </c>
      <c r="R778" t="s">
        <v>84</v>
      </c>
      <c r="S778">
        <v>4.9277305922839352E-4</v>
      </c>
      <c r="T778" t="s">
        <v>77</v>
      </c>
      <c r="V778" t="s">
        <v>155</v>
      </c>
      <c r="W778" t="s">
        <v>84</v>
      </c>
      <c r="X778">
        <v>3.2236748150084538E-2</v>
      </c>
      <c r="Y778" t="s">
        <v>77</v>
      </c>
    </row>
    <row r="779" spans="17:25" x14ac:dyDescent="0.25">
      <c r="Q779" t="s">
        <v>135</v>
      </c>
      <c r="R779" t="s">
        <v>85</v>
      </c>
      <c r="S779">
        <v>0</v>
      </c>
      <c r="T779" t="s">
        <v>77</v>
      </c>
      <c r="V779" t="s">
        <v>155</v>
      </c>
      <c r="W779" t="s">
        <v>85</v>
      </c>
      <c r="X779">
        <v>3.1807885820822258E-2</v>
      </c>
      <c r="Y779" t="s">
        <v>77</v>
      </c>
    </row>
    <row r="780" spans="17:25" x14ac:dyDescent="0.25">
      <c r="Q780" t="s">
        <v>135</v>
      </c>
      <c r="R780" t="s">
        <v>86</v>
      </c>
      <c r="S780">
        <v>0</v>
      </c>
      <c r="T780" t="s">
        <v>77</v>
      </c>
      <c r="V780" t="s">
        <v>155</v>
      </c>
      <c r="W780" t="s">
        <v>86</v>
      </c>
      <c r="X780">
        <v>4.5252668728321885E-2</v>
      </c>
      <c r="Y780" t="s">
        <v>77</v>
      </c>
    </row>
    <row r="781" spans="17:25" x14ac:dyDescent="0.25">
      <c r="Q781" t="s">
        <v>135</v>
      </c>
      <c r="R781" t="s">
        <v>87</v>
      </c>
      <c r="S781">
        <v>4.5309519905715763E-7</v>
      </c>
      <c r="T781" t="s">
        <v>77</v>
      </c>
      <c r="V781" t="s">
        <v>155</v>
      </c>
      <c r="W781" t="s">
        <v>87</v>
      </c>
      <c r="X781">
        <v>5.429279374837484E-2</v>
      </c>
      <c r="Y781" t="s">
        <v>77</v>
      </c>
    </row>
    <row r="782" spans="17:25" x14ac:dyDescent="0.25">
      <c r="Q782" t="s">
        <v>135</v>
      </c>
      <c r="R782" t="s">
        <v>88</v>
      </c>
      <c r="S782">
        <v>1.3623233954654094E-2</v>
      </c>
      <c r="T782" t="s">
        <v>77</v>
      </c>
      <c r="V782" t="s">
        <v>155</v>
      </c>
      <c r="W782" t="s">
        <v>88</v>
      </c>
      <c r="X782">
        <v>1.9941128408921083E-2</v>
      </c>
      <c r="Y782" t="s">
        <v>77</v>
      </c>
    </row>
    <row r="783" spans="17:25" x14ac:dyDescent="0.25">
      <c r="Q783" t="s">
        <v>135</v>
      </c>
      <c r="R783" t="s">
        <v>89</v>
      </c>
      <c r="S783">
        <v>4.6758471084146769E-2</v>
      </c>
      <c r="T783" t="s">
        <v>77</v>
      </c>
      <c r="V783" t="s">
        <v>155</v>
      </c>
      <c r="W783" t="s">
        <v>89</v>
      </c>
      <c r="X783">
        <v>1.8091173307594095E-2</v>
      </c>
      <c r="Y783" t="s">
        <v>77</v>
      </c>
    </row>
    <row r="784" spans="17:25" x14ac:dyDescent="0.25">
      <c r="Q784" t="s">
        <v>135</v>
      </c>
      <c r="R784" t="s">
        <v>90</v>
      </c>
      <c r="S784">
        <v>6.5435858452837364E-2</v>
      </c>
      <c r="T784" t="s">
        <v>77</v>
      </c>
      <c r="V784" t="s">
        <v>155</v>
      </c>
      <c r="W784" t="s">
        <v>90</v>
      </c>
      <c r="X784">
        <v>1.8367782477241894E-2</v>
      </c>
      <c r="Y784" t="s">
        <v>77</v>
      </c>
    </row>
    <row r="785" spans="17:25" x14ac:dyDescent="0.25">
      <c r="Q785" t="s">
        <v>135</v>
      </c>
      <c r="R785" t="s">
        <v>91</v>
      </c>
      <c r="S785">
        <v>6.6440026400990754E-2</v>
      </c>
      <c r="T785" t="s">
        <v>77</v>
      </c>
      <c r="V785" t="s">
        <v>155</v>
      </c>
      <c r="W785" t="s">
        <v>91</v>
      </c>
      <c r="X785">
        <v>1.7447248498259484E-2</v>
      </c>
      <c r="Y785" t="s">
        <v>77</v>
      </c>
    </row>
    <row r="786" spans="17:25" x14ac:dyDescent="0.25">
      <c r="Q786" t="s">
        <v>135</v>
      </c>
      <c r="R786" t="s">
        <v>92</v>
      </c>
      <c r="S786">
        <v>6.3458734917534343E-2</v>
      </c>
      <c r="T786" t="s">
        <v>77</v>
      </c>
      <c r="V786" t="s">
        <v>155</v>
      </c>
      <c r="W786" t="s">
        <v>92</v>
      </c>
      <c r="X786">
        <v>1.9544396617266681E-2</v>
      </c>
      <c r="Y786" t="s">
        <v>77</v>
      </c>
    </row>
    <row r="787" spans="17:25" x14ac:dyDescent="0.25">
      <c r="Q787" t="s">
        <v>135</v>
      </c>
      <c r="R787" t="s">
        <v>93</v>
      </c>
      <c r="S787">
        <v>5.0673419333163126E-2</v>
      </c>
      <c r="T787" t="s">
        <v>77</v>
      </c>
      <c r="V787" t="s">
        <v>155</v>
      </c>
      <c r="W787" t="s">
        <v>93</v>
      </c>
      <c r="X787">
        <v>2.0285224936151532E-2</v>
      </c>
      <c r="Y787" t="s">
        <v>77</v>
      </c>
    </row>
    <row r="788" spans="17:25" x14ac:dyDescent="0.25">
      <c r="Q788" t="s">
        <v>135</v>
      </c>
      <c r="R788" t="s">
        <v>94</v>
      </c>
      <c r="S788">
        <v>2.5999771312713717E-2</v>
      </c>
      <c r="T788" t="s">
        <v>77</v>
      </c>
      <c r="V788" t="s">
        <v>155</v>
      </c>
      <c r="W788" t="s">
        <v>94</v>
      </c>
      <c r="X788">
        <v>1.9777246373403487E-2</v>
      </c>
      <c r="Y788" t="s">
        <v>77</v>
      </c>
    </row>
    <row r="789" spans="17:25" x14ac:dyDescent="0.25">
      <c r="Q789" t="s">
        <v>135</v>
      </c>
      <c r="R789" t="s">
        <v>95</v>
      </c>
      <c r="S789">
        <v>2.41117185181817E-3</v>
      </c>
      <c r="T789" t="s">
        <v>77</v>
      </c>
      <c r="V789" t="s">
        <v>155</v>
      </c>
      <c r="W789" t="s">
        <v>95</v>
      </c>
      <c r="X789">
        <v>2.2084258122928812E-2</v>
      </c>
      <c r="Y789" t="s">
        <v>77</v>
      </c>
    </row>
    <row r="790" spans="17:25" x14ac:dyDescent="0.25">
      <c r="Q790" t="s">
        <v>135</v>
      </c>
      <c r="R790" t="s">
        <v>96</v>
      </c>
      <c r="S790">
        <v>0</v>
      </c>
      <c r="T790" t="s">
        <v>77</v>
      </c>
      <c r="V790" t="s">
        <v>155</v>
      </c>
      <c r="W790" t="s">
        <v>96</v>
      </c>
      <c r="X790">
        <v>3.3872683432571583E-2</v>
      </c>
      <c r="Y790" t="s">
        <v>77</v>
      </c>
    </row>
    <row r="791" spans="17:25" x14ac:dyDescent="0.25">
      <c r="Q791" t="s">
        <v>135</v>
      </c>
      <c r="R791" t="s">
        <v>97</v>
      </c>
      <c r="S791">
        <v>6.9881726058336317E-4</v>
      </c>
      <c r="T791" t="s">
        <v>77</v>
      </c>
      <c r="V791" t="s">
        <v>155</v>
      </c>
      <c r="W791" t="s">
        <v>97</v>
      </c>
      <c r="X791">
        <v>2.6352835169016195E-2</v>
      </c>
      <c r="Y791" t="s">
        <v>77</v>
      </c>
    </row>
    <row r="792" spans="17:25" x14ac:dyDescent="0.25">
      <c r="Q792" t="s">
        <v>135</v>
      </c>
      <c r="R792" t="s">
        <v>98</v>
      </c>
      <c r="S792">
        <v>2.6613582064840331E-2</v>
      </c>
      <c r="T792" t="s">
        <v>77</v>
      </c>
      <c r="V792" t="s">
        <v>155</v>
      </c>
      <c r="W792" t="s">
        <v>98</v>
      </c>
      <c r="X792">
        <v>1.0530532629591659E-2</v>
      </c>
      <c r="Y792" t="s">
        <v>77</v>
      </c>
    </row>
    <row r="793" spans="17:25" x14ac:dyDescent="0.25">
      <c r="Q793" t="s">
        <v>135</v>
      </c>
      <c r="R793" t="s">
        <v>99</v>
      </c>
      <c r="S793">
        <v>6.0797085485096269E-2</v>
      </c>
      <c r="T793" t="s">
        <v>77</v>
      </c>
      <c r="V793" t="s">
        <v>155</v>
      </c>
      <c r="W793" t="s">
        <v>99</v>
      </c>
      <c r="X793">
        <v>9.2618770407241618E-3</v>
      </c>
      <c r="Y793" t="s">
        <v>77</v>
      </c>
    </row>
    <row r="794" spans="17:25" x14ac:dyDescent="0.25">
      <c r="Q794" t="s">
        <v>135</v>
      </c>
      <c r="R794" t="s">
        <v>100</v>
      </c>
      <c r="S794">
        <v>7.5256242052699415E-2</v>
      </c>
      <c r="T794" t="s">
        <v>77</v>
      </c>
      <c r="V794" t="s">
        <v>155</v>
      </c>
      <c r="W794" t="s">
        <v>100</v>
      </c>
      <c r="X794">
        <v>1.1046293865345697E-2</v>
      </c>
      <c r="Y794" t="s">
        <v>77</v>
      </c>
    </row>
    <row r="795" spans="17:25" x14ac:dyDescent="0.25">
      <c r="Q795" t="s">
        <v>135</v>
      </c>
      <c r="R795" t="s">
        <v>101</v>
      </c>
      <c r="S795">
        <v>7.5087000882795338E-2</v>
      </c>
      <c r="T795" t="s">
        <v>77</v>
      </c>
      <c r="V795" t="s">
        <v>155</v>
      </c>
      <c r="W795" t="s">
        <v>101</v>
      </c>
      <c r="X795">
        <v>8.9253190955281749E-3</v>
      </c>
      <c r="Y795" t="s">
        <v>77</v>
      </c>
    </row>
    <row r="796" spans="17:25" x14ac:dyDescent="0.25">
      <c r="Q796" t="s">
        <v>135</v>
      </c>
      <c r="R796" t="s">
        <v>102</v>
      </c>
      <c r="S796">
        <v>7.2429596652180586E-2</v>
      </c>
      <c r="T796" t="s">
        <v>77</v>
      </c>
      <c r="V796" t="s">
        <v>155</v>
      </c>
      <c r="W796" t="s">
        <v>102</v>
      </c>
      <c r="X796">
        <v>9.702774557380292E-3</v>
      </c>
      <c r="Y796" t="s">
        <v>77</v>
      </c>
    </row>
    <row r="797" spans="17:25" x14ac:dyDescent="0.25">
      <c r="Q797" t="s">
        <v>135</v>
      </c>
      <c r="R797" t="s">
        <v>103</v>
      </c>
      <c r="S797">
        <v>6.2064937242030244E-2</v>
      </c>
      <c r="T797" t="s">
        <v>77</v>
      </c>
      <c r="V797" t="s">
        <v>155</v>
      </c>
      <c r="W797" t="s">
        <v>103</v>
      </c>
      <c r="X797">
        <v>1.0071548243728126E-2</v>
      </c>
      <c r="Y797" t="s">
        <v>77</v>
      </c>
    </row>
    <row r="798" spans="17:25" x14ac:dyDescent="0.25">
      <c r="Q798" t="s">
        <v>135</v>
      </c>
      <c r="R798" t="s">
        <v>104</v>
      </c>
      <c r="S798">
        <v>4.0589213879002689E-2</v>
      </c>
      <c r="T798" t="s">
        <v>77</v>
      </c>
      <c r="V798" t="s">
        <v>155</v>
      </c>
      <c r="W798" t="s">
        <v>104</v>
      </c>
      <c r="X798">
        <v>9.1763535294169044E-3</v>
      </c>
      <c r="Y798" t="s">
        <v>77</v>
      </c>
    </row>
    <row r="799" spans="17:25" x14ac:dyDescent="0.25">
      <c r="Q799" t="s">
        <v>135</v>
      </c>
      <c r="R799" t="s">
        <v>105</v>
      </c>
      <c r="S799">
        <v>9.8164727325976264E-3</v>
      </c>
      <c r="T799" t="s">
        <v>77</v>
      </c>
      <c r="V799" t="s">
        <v>155</v>
      </c>
      <c r="W799" t="s">
        <v>105</v>
      </c>
      <c r="X799">
        <v>1.0453327329964597E-2</v>
      </c>
      <c r="Y799" t="s">
        <v>77</v>
      </c>
    </row>
    <row r="800" spans="17:25" x14ac:dyDescent="0.25">
      <c r="Q800" t="s">
        <v>135</v>
      </c>
      <c r="R800" t="s">
        <v>106</v>
      </c>
      <c r="S800">
        <v>0</v>
      </c>
      <c r="T800" t="s">
        <v>77</v>
      </c>
      <c r="V800" t="s">
        <v>155</v>
      </c>
      <c r="W800" t="s">
        <v>106</v>
      </c>
      <c r="X800">
        <v>1.7531619909674445E-2</v>
      </c>
      <c r="Y800" t="s">
        <v>77</v>
      </c>
    </row>
    <row r="801" spans="17:25" x14ac:dyDescent="0.25">
      <c r="Q801" t="s">
        <v>135</v>
      </c>
      <c r="R801" t="s">
        <v>107</v>
      </c>
      <c r="S801">
        <v>0</v>
      </c>
      <c r="T801" t="s">
        <v>77</v>
      </c>
      <c r="V801" t="s">
        <v>155</v>
      </c>
      <c r="W801" t="s">
        <v>107</v>
      </c>
      <c r="X801">
        <v>5.5299047191461032E-2</v>
      </c>
      <c r="Y801" t="s">
        <v>77</v>
      </c>
    </row>
    <row r="802" spans="17:25" x14ac:dyDescent="0.25">
      <c r="Q802" t="s">
        <v>135</v>
      </c>
      <c r="R802" t="s">
        <v>108</v>
      </c>
      <c r="S802">
        <v>1.7239329126335552E-3</v>
      </c>
      <c r="T802" t="s">
        <v>77</v>
      </c>
      <c r="V802" t="s">
        <v>155</v>
      </c>
      <c r="W802" t="s">
        <v>108</v>
      </c>
      <c r="X802">
        <v>2.1935821133174993E-2</v>
      </c>
      <c r="Y802" t="s">
        <v>77</v>
      </c>
    </row>
    <row r="803" spans="17:25" x14ac:dyDescent="0.25">
      <c r="Q803" t="s">
        <v>135</v>
      </c>
      <c r="R803" t="s">
        <v>109</v>
      </c>
      <c r="S803">
        <v>1.8852568141885257E-2</v>
      </c>
      <c r="T803" t="s">
        <v>77</v>
      </c>
      <c r="V803" t="s">
        <v>155</v>
      </c>
      <c r="W803" t="s">
        <v>109</v>
      </c>
      <c r="X803">
        <v>2.1520639174333032E-2</v>
      </c>
      <c r="Y803" t="s">
        <v>77</v>
      </c>
    </row>
    <row r="804" spans="17:25" x14ac:dyDescent="0.25">
      <c r="Q804" t="s">
        <v>135</v>
      </c>
      <c r="R804" t="s">
        <v>110</v>
      </c>
      <c r="S804">
        <v>3.6588898710586043E-2</v>
      </c>
      <c r="T804" t="s">
        <v>77</v>
      </c>
      <c r="V804" t="s">
        <v>155</v>
      </c>
      <c r="W804" t="s">
        <v>110</v>
      </c>
      <c r="X804">
        <v>2.1566189703114746E-2</v>
      </c>
      <c r="Y804" t="s">
        <v>77</v>
      </c>
    </row>
    <row r="805" spans="17:25" x14ac:dyDescent="0.25">
      <c r="Q805" t="s">
        <v>135</v>
      </c>
      <c r="R805" t="s">
        <v>111</v>
      </c>
      <c r="S805">
        <v>3.933672663113523E-2</v>
      </c>
      <c r="T805" t="s">
        <v>77</v>
      </c>
      <c r="V805" t="s">
        <v>155</v>
      </c>
      <c r="W805" t="s">
        <v>111</v>
      </c>
      <c r="X805">
        <v>2.0524404094818198E-2</v>
      </c>
      <c r="Y805" t="s">
        <v>77</v>
      </c>
    </row>
    <row r="806" spans="17:25" x14ac:dyDescent="0.25">
      <c r="Q806" t="s">
        <v>135</v>
      </c>
      <c r="R806" t="s">
        <v>112</v>
      </c>
      <c r="S806">
        <v>3.7088684662262464E-2</v>
      </c>
      <c r="T806" t="s">
        <v>77</v>
      </c>
      <c r="V806" t="s">
        <v>155</v>
      </c>
      <c r="W806" t="s">
        <v>112</v>
      </c>
      <c r="X806">
        <v>2.3042586860535556E-2</v>
      </c>
      <c r="Y806" t="s">
        <v>77</v>
      </c>
    </row>
    <row r="807" spans="17:25" x14ac:dyDescent="0.25">
      <c r="Q807" t="s">
        <v>135</v>
      </c>
      <c r="R807" t="s">
        <v>113</v>
      </c>
      <c r="S807">
        <v>2.3584131939111224E-2</v>
      </c>
      <c r="T807" t="s">
        <v>77</v>
      </c>
      <c r="V807" t="s">
        <v>155</v>
      </c>
      <c r="W807" t="s">
        <v>113</v>
      </c>
      <c r="X807">
        <v>2.2963292026446806E-2</v>
      </c>
      <c r="Y807" t="s">
        <v>77</v>
      </c>
    </row>
    <row r="808" spans="17:25" x14ac:dyDescent="0.25">
      <c r="Q808" t="s">
        <v>135</v>
      </c>
      <c r="R808" t="s">
        <v>114</v>
      </c>
      <c r="S808">
        <v>6.1394137174750575E-3</v>
      </c>
      <c r="T808" t="s">
        <v>77</v>
      </c>
      <c r="V808" t="s">
        <v>155</v>
      </c>
      <c r="W808" t="s">
        <v>114</v>
      </c>
      <c r="X808">
        <v>2.4139560015465227E-2</v>
      </c>
      <c r="Y808" t="s">
        <v>77</v>
      </c>
    </row>
    <row r="809" spans="17:25" x14ac:dyDescent="0.25">
      <c r="Q809" t="s">
        <v>135</v>
      </c>
      <c r="R809" t="s">
        <v>115</v>
      </c>
      <c r="S809">
        <v>0</v>
      </c>
      <c r="T809" t="s">
        <v>77</v>
      </c>
      <c r="V809" t="s">
        <v>155</v>
      </c>
      <c r="W809" t="s">
        <v>115</v>
      </c>
      <c r="X809">
        <v>2.4310445416885321E-2</v>
      </c>
      <c r="Y809" t="s">
        <v>77</v>
      </c>
    </row>
    <row r="810" spans="17:25" x14ac:dyDescent="0.25">
      <c r="Q810" t="s">
        <v>135</v>
      </c>
      <c r="R810" t="s">
        <v>116</v>
      </c>
      <c r="S810">
        <v>0</v>
      </c>
      <c r="T810" t="s">
        <v>77</v>
      </c>
      <c r="V810" t="s">
        <v>155</v>
      </c>
      <c r="W810" t="s">
        <v>116</v>
      </c>
      <c r="X810">
        <v>3.5526012620983996E-2</v>
      </c>
      <c r="Y810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BBD5-42CF-484A-9308-9FC084C2D893}">
  <dimension ref="B9:GN60"/>
  <sheetViews>
    <sheetView workbookViewId="0">
      <selection activeCell="L10" sqref="L10"/>
    </sheetView>
  </sheetViews>
  <sheetFormatPr defaultRowHeight="15" x14ac:dyDescent="0.25"/>
  <sheetData>
    <row r="9" spans="2:196" x14ac:dyDescent="0.2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  <c r="V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D9" t="str">
        <f>IF(A11="x","DeActivated","~TFM_INS-TSL: attribute=FLO_SHAR; limtype=FX")</f>
        <v>~TFM_INS-TSL: attribute=FLO_SHAR; limtype=FX</v>
      </c>
      <c r="EU9" t="str">
        <f>IF(A11="x","DeActivated","~TFM_DINS-TSL: attribute=NCAP_PKCNT")</f>
        <v>~TFM_DINS-TSL: attribute=NCAP_PKCNT</v>
      </c>
      <c r="GK9" t="str">
        <f>IF(A11="x","DeActivated","~TFM_DINS-AT")</f>
        <v>~TFM_DINS-AT</v>
      </c>
    </row>
    <row r="10" spans="2:196" x14ac:dyDescent="0.25">
      <c r="B10" t="s">
        <v>43</v>
      </c>
      <c r="C10" t="s">
        <v>40</v>
      </c>
      <c r="D10" t="s">
        <v>44</v>
      </c>
      <c r="F10" t="s">
        <v>43</v>
      </c>
      <c r="G10" t="s">
        <v>40</v>
      </c>
      <c r="H10" t="s">
        <v>44</v>
      </c>
      <c r="J10" t="s">
        <v>43</v>
      </c>
      <c r="K10" t="s">
        <v>40</v>
      </c>
      <c r="L10" t="s">
        <v>44</v>
      </c>
      <c r="N10" t="s">
        <v>43</v>
      </c>
      <c r="O10" t="s">
        <v>44</v>
      </c>
      <c r="Q10" t="s">
        <v>43</v>
      </c>
      <c r="R10" t="s">
        <v>40</v>
      </c>
      <c r="S10" t="s">
        <v>45</v>
      </c>
      <c r="T10" t="s">
        <v>46</v>
      </c>
      <c r="V10" t="s">
        <v>43</v>
      </c>
      <c r="W10" t="s">
        <v>40</v>
      </c>
      <c r="X10" t="s">
        <v>76</v>
      </c>
      <c r="Y10" t="s">
        <v>78</v>
      </c>
      <c r="Z10" t="s">
        <v>79</v>
      </c>
      <c r="AA10" t="s">
        <v>80</v>
      </c>
      <c r="AB10" t="s">
        <v>81</v>
      </c>
      <c r="AC10" t="s">
        <v>82</v>
      </c>
      <c r="AD10" t="s">
        <v>83</v>
      </c>
      <c r="AE10" t="s">
        <v>84</v>
      </c>
      <c r="AF10" t="s">
        <v>85</v>
      </c>
      <c r="AG10" t="s">
        <v>86</v>
      </c>
      <c r="AH10" t="s">
        <v>87</v>
      </c>
      <c r="AI10" t="s">
        <v>88</v>
      </c>
      <c r="AJ10" t="s">
        <v>89</v>
      </c>
      <c r="AK10" t="s">
        <v>90</v>
      </c>
      <c r="AL10" t="s">
        <v>91</v>
      </c>
      <c r="AM10" t="s">
        <v>92</v>
      </c>
      <c r="AN10" t="s">
        <v>93</v>
      </c>
      <c r="AO10" t="s">
        <v>94</v>
      </c>
      <c r="AP10" t="s">
        <v>95</v>
      </c>
      <c r="AQ10" t="s">
        <v>96</v>
      </c>
      <c r="AR10" t="s">
        <v>97</v>
      </c>
      <c r="AS10" t="s">
        <v>98</v>
      </c>
      <c r="AT10" t="s">
        <v>99</v>
      </c>
      <c r="AU10" t="s">
        <v>100</v>
      </c>
      <c r="AV10" t="s">
        <v>101</v>
      </c>
      <c r="AW10" t="s">
        <v>102</v>
      </c>
      <c r="AX10" t="s">
        <v>103</v>
      </c>
      <c r="AY10" t="s">
        <v>104</v>
      </c>
      <c r="AZ10" t="s">
        <v>105</v>
      </c>
      <c r="BA10" t="s">
        <v>106</v>
      </c>
      <c r="BB10" t="s">
        <v>107</v>
      </c>
      <c r="BC10" t="s">
        <v>108</v>
      </c>
      <c r="BD10" t="s">
        <v>109</v>
      </c>
      <c r="BE10" t="s">
        <v>110</v>
      </c>
      <c r="BF10" t="s">
        <v>111</v>
      </c>
      <c r="BG10" t="s">
        <v>112</v>
      </c>
      <c r="BH10" t="s">
        <v>113</v>
      </c>
      <c r="BI10" t="s">
        <v>114</v>
      </c>
      <c r="BJ10" t="s">
        <v>115</v>
      </c>
      <c r="BK10" t="s">
        <v>116</v>
      </c>
      <c r="BM10" t="s">
        <v>43</v>
      </c>
      <c r="BN10" t="s">
        <v>40</v>
      </c>
      <c r="BO10" t="s">
        <v>76</v>
      </c>
      <c r="BP10" t="s">
        <v>78</v>
      </c>
      <c r="BQ10" t="s">
        <v>79</v>
      </c>
      <c r="BR10" t="s">
        <v>80</v>
      </c>
      <c r="BS10" t="s">
        <v>81</v>
      </c>
      <c r="BT10" t="s">
        <v>82</v>
      </c>
      <c r="BU10" t="s">
        <v>83</v>
      </c>
      <c r="BV10" t="s">
        <v>84</v>
      </c>
      <c r="BW10" t="s">
        <v>85</v>
      </c>
      <c r="BX10" t="s">
        <v>86</v>
      </c>
      <c r="BY10" t="s">
        <v>87</v>
      </c>
      <c r="BZ10" t="s">
        <v>88</v>
      </c>
      <c r="CA10" t="s">
        <v>89</v>
      </c>
      <c r="CB10" t="s">
        <v>90</v>
      </c>
      <c r="CC10" t="s">
        <v>91</v>
      </c>
      <c r="CD10" t="s">
        <v>92</v>
      </c>
      <c r="CE10" t="s">
        <v>93</v>
      </c>
      <c r="CF10" t="s">
        <v>94</v>
      </c>
      <c r="CG10" t="s">
        <v>95</v>
      </c>
      <c r="CH10" t="s">
        <v>96</v>
      </c>
      <c r="CI10" t="s">
        <v>97</v>
      </c>
      <c r="CJ10" t="s">
        <v>98</v>
      </c>
      <c r="CK10" t="s">
        <v>99</v>
      </c>
      <c r="CL10" t="s">
        <v>100</v>
      </c>
      <c r="CM10" t="s">
        <v>101</v>
      </c>
      <c r="CN10" t="s">
        <v>102</v>
      </c>
      <c r="CO10" t="s">
        <v>103</v>
      </c>
      <c r="CP10" t="s">
        <v>104</v>
      </c>
      <c r="CQ10" t="s">
        <v>105</v>
      </c>
      <c r="CR10" t="s">
        <v>106</v>
      </c>
      <c r="CS10" t="s">
        <v>107</v>
      </c>
      <c r="CT10" t="s">
        <v>108</v>
      </c>
      <c r="CU10" t="s">
        <v>109</v>
      </c>
      <c r="CV10" t="s">
        <v>110</v>
      </c>
      <c r="CW10" t="s">
        <v>111</v>
      </c>
      <c r="CX10" t="s">
        <v>112</v>
      </c>
      <c r="CY10" t="s">
        <v>113</v>
      </c>
      <c r="CZ10" t="s">
        <v>114</v>
      </c>
      <c r="DA10" t="s">
        <v>115</v>
      </c>
      <c r="DB10" t="s">
        <v>116</v>
      </c>
      <c r="DD10" t="s">
        <v>43</v>
      </c>
      <c r="DE10" t="s">
        <v>40</v>
      </c>
      <c r="DF10" t="s">
        <v>76</v>
      </c>
      <c r="DG10" t="s">
        <v>78</v>
      </c>
      <c r="DH10" t="s">
        <v>79</v>
      </c>
      <c r="DI10" t="s">
        <v>80</v>
      </c>
      <c r="DJ10" t="s">
        <v>81</v>
      </c>
      <c r="DK10" t="s">
        <v>82</v>
      </c>
      <c r="DL10" t="s">
        <v>83</v>
      </c>
      <c r="DM10" t="s">
        <v>84</v>
      </c>
      <c r="DN10" t="s">
        <v>85</v>
      </c>
      <c r="DO10" t="s">
        <v>86</v>
      </c>
      <c r="DP10" t="s">
        <v>87</v>
      </c>
      <c r="DQ10" t="s">
        <v>88</v>
      </c>
      <c r="DR10" t="s">
        <v>89</v>
      </c>
      <c r="DS10" t="s">
        <v>90</v>
      </c>
      <c r="DT10" t="s">
        <v>91</v>
      </c>
      <c r="DU10" t="s">
        <v>92</v>
      </c>
      <c r="DV10" t="s">
        <v>93</v>
      </c>
      <c r="DW10" t="s">
        <v>94</v>
      </c>
      <c r="DX10" t="s">
        <v>95</v>
      </c>
      <c r="DY10" t="s">
        <v>96</v>
      </c>
      <c r="DZ10" t="s">
        <v>97</v>
      </c>
      <c r="EA10" t="s">
        <v>98</v>
      </c>
      <c r="EB10" t="s">
        <v>99</v>
      </c>
      <c r="EC10" t="s">
        <v>100</v>
      </c>
      <c r="ED10" t="s">
        <v>101</v>
      </c>
      <c r="EE10" t="s">
        <v>102</v>
      </c>
      <c r="EF10" t="s">
        <v>103</v>
      </c>
      <c r="EG10" t="s">
        <v>104</v>
      </c>
      <c r="EH10" t="s">
        <v>105</v>
      </c>
      <c r="EI10" t="s">
        <v>106</v>
      </c>
      <c r="EJ10" t="s">
        <v>107</v>
      </c>
      <c r="EK10" t="s">
        <v>108</v>
      </c>
      <c r="EL10" t="s">
        <v>109</v>
      </c>
      <c r="EM10" t="s">
        <v>110</v>
      </c>
      <c r="EN10" t="s">
        <v>111</v>
      </c>
      <c r="EO10" t="s">
        <v>112</v>
      </c>
      <c r="EP10" t="s">
        <v>113</v>
      </c>
      <c r="EQ10" t="s">
        <v>114</v>
      </c>
      <c r="ER10" t="s">
        <v>115</v>
      </c>
      <c r="ES10" t="s">
        <v>116</v>
      </c>
      <c r="EU10" t="s">
        <v>43</v>
      </c>
      <c r="EV10" t="s">
        <v>76</v>
      </c>
      <c r="EW10" t="s">
        <v>78</v>
      </c>
      <c r="EX10" t="s">
        <v>79</v>
      </c>
      <c r="EY10" t="s">
        <v>80</v>
      </c>
      <c r="EZ10" t="s">
        <v>81</v>
      </c>
      <c r="FA10" t="s">
        <v>82</v>
      </c>
      <c r="FB10" t="s">
        <v>83</v>
      </c>
      <c r="FC10" t="s">
        <v>84</v>
      </c>
      <c r="FD10" t="s">
        <v>85</v>
      </c>
      <c r="FE10" t="s">
        <v>86</v>
      </c>
      <c r="FF10" t="s">
        <v>87</v>
      </c>
      <c r="FG10" t="s">
        <v>88</v>
      </c>
      <c r="FH10" t="s">
        <v>89</v>
      </c>
      <c r="FI10" t="s">
        <v>90</v>
      </c>
      <c r="FJ10" t="s">
        <v>91</v>
      </c>
      <c r="FK10" t="s">
        <v>92</v>
      </c>
      <c r="FL10" t="s">
        <v>93</v>
      </c>
      <c r="FM10" t="s">
        <v>94</v>
      </c>
      <c r="FN10" t="s">
        <v>95</v>
      </c>
      <c r="FO10" t="s">
        <v>96</v>
      </c>
      <c r="FP10" t="s">
        <v>97</v>
      </c>
      <c r="FQ10" t="s">
        <v>98</v>
      </c>
      <c r="FR10" t="s">
        <v>99</v>
      </c>
      <c r="FS10" t="s">
        <v>100</v>
      </c>
      <c r="FT10" t="s">
        <v>101</v>
      </c>
      <c r="FU10" t="s">
        <v>102</v>
      </c>
      <c r="FV10" t="s">
        <v>103</v>
      </c>
      <c r="FW10" t="s">
        <v>104</v>
      </c>
      <c r="FX10" t="s">
        <v>105</v>
      </c>
      <c r="FY10" t="s">
        <v>106</v>
      </c>
      <c r="FZ10" t="s">
        <v>107</v>
      </c>
      <c r="GA10" t="s">
        <v>108</v>
      </c>
      <c r="GB10" t="s">
        <v>109</v>
      </c>
      <c r="GC10" t="s">
        <v>110</v>
      </c>
      <c r="GD10" t="s">
        <v>111</v>
      </c>
      <c r="GE10" t="s">
        <v>112</v>
      </c>
      <c r="GF10" t="s">
        <v>113</v>
      </c>
      <c r="GG10" t="s">
        <v>114</v>
      </c>
      <c r="GH10" t="s">
        <v>115</v>
      </c>
      <c r="GI10" t="s">
        <v>116</v>
      </c>
      <c r="GK10" t="s">
        <v>43</v>
      </c>
      <c r="GL10" t="s">
        <v>40</v>
      </c>
      <c r="GM10" t="s">
        <v>45</v>
      </c>
      <c r="GN10" t="s">
        <v>46</v>
      </c>
    </row>
    <row r="11" spans="2:196" x14ac:dyDescent="0.25">
      <c r="V11" t="s">
        <v>166</v>
      </c>
      <c r="W11" t="s">
        <v>31</v>
      </c>
      <c r="X11">
        <v>0</v>
      </c>
      <c r="Y11">
        <v>0</v>
      </c>
      <c r="Z11">
        <v>0.91605246501325344</v>
      </c>
      <c r="AA11">
        <v>0.35380572658697956</v>
      </c>
      <c r="AB11">
        <v>0.22936474679861485</v>
      </c>
      <c r="AC11">
        <v>0.24132728234442211</v>
      </c>
      <c r="AD11">
        <v>0.35712865865412624</v>
      </c>
      <c r="AE11">
        <v>0.83253562620274646</v>
      </c>
      <c r="AF11">
        <v>0</v>
      </c>
      <c r="AG11">
        <v>0</v>
      </c>
      <c r="AH11">
        <v>0</v>
      </c>
      <c r="AI11">
        <v>0.66227774627104141</v>
      </c>
      <c r="AJ11">
        <v>0.34503318935597899</v>
      </c>
      <c r="AK11">
        <v>0.2387573941940897</v>
      </c>
      <c r="AL11">
        <v>0.1783985512010455</v>
      </c>
      <c r="AM11">
        <v>0.17531802519064613</v>
      </c>
      <c r="AN11">
        <v>0.24100066238615969</v>
      </c>
      <c r="AO11">
        <v>0.29758670669424281</v>
      </c>
      <c r="AP11">
        <v>0.66678452453010029</v>
      </c>
      <c r="AQ11">
        <v>0</v>
      </c>
      <c r="AR11">
        <v>0</v>
      </c>
      <c r="AS11">
        <v>0.37263933310633918</v>
      </c>
      <c r="AT11">
        <v>0.20354657238794951</v>
      </c>
      <c r="AU11">
        <v>0.15404537329546461</v>
      </c>
      <c r="AV11">
        <v>0.11986117261375867</v>
      </c>
      <c r="AW11">
        <v>0.12232896243888608</v>
      </c>
      <c r="AX11">
        <v>0.1486328106457763</v>
      </c>
      <c r="AY11">
        <v>0.19465926986663803</v>
      </c>
      <c r="AZ11">
        <v>0.35836427145786992</v>
      </c>
      <c r="BA11">
        <v>0</v>
      </c>
      <c r="BB11">
        <v>0</v>
      </c>
      <c r="BC11">
        <v>0.96703296703296726</v>
      </c>
      <c r="BD11">
        <v>0.56886617423193298</v>
      </c>
      <c r="BE11">
        <v>0.35405640640891922</v>
      </c>
      <c r="BF11">
        <v>0.25672149366744024</v>
      </c>
      <c r="BG11">
        <v>0.27119191275600557</v>
      </c>
      <c r="BH11">
        <v>0.34546110541338382</v>
      </c>
      <c r="BI11">
        <v>0.62060676767866751</v>
      </c>
      <c r="BJ11">
        <v>0.98590742923521968</v>
      </c>
      <c r="BK11">
        <v>0</v>
      </c>
      <c r="BM11" t="s">
        <v>216</v>
      </c>
      <c r="BN11" t="s">
        <v>217</v>
      </c>
      <c r="BO11">
        <v>0</v>
      </c>
      <c r="BP11">
        <v>0</v>
      </c>
      <c r="BQ11">
        <v>0.62431927481636251</v>
      </c>
      <c r="BR11">
        <v>0.16161743548798815</v>
      </c>
      <c r="BS11">
        <v>9.5798083382270222E-2</v>
      </c>
      <c r="BT11">
        <v>2.5633156524337376E-2</v>
      </c>
      <c r="BU11">
        <v>1.5312141165989716E-2</v>
      </c>
      <c r="BV11">
        <v>5.9488559501446027E-2</v>
      </c>
      <c r="BW11">
        <v>0</v>
      </c>
      <c r="BX11">
        <v>0</v>
      </c>
      <c r="BY11">
        <v>0.94250624304540986</v>
      </c>
      <c r="BZ11">
        <v>0.33540905381433189</v>
      </c>
      <c r="CA11">
        <v>0.13950147062646315</v>
      </c>
      <c r="CB11">
        <v>6.4769241832396268E-2</v>
      </c>
      <c r="CC11">
        <v>1.6485504837161616E-2</v>
      </c>
      <c r="CD11">
        <v>0</v>
      </c>
      <c r="CE11">
        <v>0</v>
      </c>
      <c r="CF11">
        <v>2.597845155360014E-3</v>
      </c>
      <c r="CG11">
        <v>0.13576488029813452</v>
      </c>
      <c r="CH11">
        <v>0</v>
      </c>
      <c r="CI11">
        <v>0.8263566139719829</v>
      </c>
      <c r="CJ11">
        <v>0.14939302601925006</v>
      </c>
      <c r="CK11">
        <v>7.0918022346216983E-2</v>
      </c>
      <c r="CL11">
        <v>2.8566957013399726E-2</v>
      </c>
      <c r="CM11">
        <v>3.0757118720488854E-3</v>
      </c>
      <c r="CN11">
        <v>3.9986817424906779E-3</v>
      </c>
      <c r="CO11">
        <v>3.6116149118944579E-3</v>
      </c>
      <c r="CP11">
        <v>9.1433292894983476E-3</v>
      </c>
      <c r="CQ11">
        <v>6.4965703894723795E-2</v>
      </c>
      <c r="CR11">
        <v>0</v>
      </c>
      <c r="CS11">
        <v>0</v>
      </c>
      <c r="CT11">
        <v>0.77980221383292203</v>
      </c>
      <c r="CU11">
        <v>0.27687915755121778</v>
      </c>
      <c r="CV11">
        <v>0.16496811638188794</v>
      </c>
      <c r="CW11">
        <v>4.0557294739800465E-2</v>
      </c>
      <c r="CX11">
        <v>0</v>
      </c>
      <c r="CY11">
        <v>3.6352601206267169E-3</v>
      </c>
      <c r="CZ11">
        <v>1.432693131704324E-2</v>
      </c>
      <c r="DA11">
        <v>1.641999886204289E-2</v>
      </c>
      <c r="DB11">
        <v>0</v>
      </c>
      <c r="DD11" t="s">
        <v>216</v>
      </c>
      <c r="DE11" t="s">
        <v>220</v>
      </c>
      <c r="DF11">
        <v>0</v>
      </c>
      <c r="DG11">
        <v>0</v>
      </c>
      <c r="DH11">
        <v>0</v>
      </c>
      <c r="DI11">
        <v>0</v>
      </c>
      <c r="DJ11">
        <v>1.0169534346908832E-2</v>
      </c>
      <c r="DK11">
        <v>8.7293608126390018E-2</v>
      </c>
      <c r="DL11">
        <v>0.21900541966205225</v>
      </c>
      <c r="DM11">
        <v>0.3368562913111306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2.5067881471528063E-2</v>
      </c>
      <c r="DT11">
        <v>4.9532533785687456E-2</v>
      </c>
      <c r="DU11">
        <v>7.1476981869438141E-2</v>
      </c>
      <c r="DV11">
        <v>6.4085684920638916E-2</v>
      </c>
      <c r="DW11">
        <v>2.8749030875642505E-2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2.8023277376635375E-2</v>
      </c>
      <c r="ED11">
        <v>4.245641529398049E-2</v>
      </c>
      <c r="EE11">
        <v>3.3990744033408737E-2</v>
      </c>
      <c r="EF11">
        <v>2.326115812364583E-2</v>
      </c>
      <c r="EG11">
        <v>1.078630655678719E-2</v>
      </c>
      <c r="EH11">
        <v>2.1484094726353906E-2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8.9742050254314074E-2</v>
      </c>
      <c r="EO11">
        <v>0.13919837104389338</v>
      </c>
      <c r="EP11">
        <v>0.14615827012871668</v>
      </c>
      <c r="EQ11">
        <v>3.2877654147627472E-2</v>
      </c>
      <c r="ER11">
        <v>0</v>
      </c>
      <c r="ES11">
        <v>0</v>
      </c>
      <c r="EU11" t="s">
        <v>166</v>
      </c>
      <c r="EV11">
        <v>0</v>
      </c>
      <c r="EW11">
        <v>0</v>
      </c>
      <c r="EX11">
        <v>1.8740243000861458E-3</v>
      </c>
      <c r="EY11">
        <v>9.0663412866040086E-2</v>
      </c>
      <c r="EZ11">
        <v>0.16789682686612148</v>
      </c>
      <c r="FA11">
        <v>0.16296820095413417</v>
      </c>
      <c r="FB11">
        <v>9.2850977407649651E-2</v>
      </c>
      <c r="FC11">
        <v>8.918967591772152E-3</v>
      </c>
      <c r="FD11">
        <v>0</v>
      </c>
      <c r="FE11">
        <v>0</v>
      </c>
      <c r="FF11">
        <v>0</v>
      </c>
      <c r="FG11">
        <v>4.8617850268127177E-2</v>
      </c>
      <c r="FH11">
        <v>0.23158216456113787</v>
      </c>
      <c r="FI11">
        <v>0.40080649776597926</v>
      </c>
      <c r="FJ11">
        <v>0.43569390696555943</v>
      </c>
      <c r="FK11">
        <v>0.40154773106514835</v>
      </c>
      <c r="FL11">
        <v>0.3327889786417515</v>
      </c>
      <c r="FM11">
        <v>0.19450789226473042</v>
      </c>
      <c r="FN11">
        <v>3.4903472485621534E-2</v>
      </c>
      <c r="FO11">
        <v>0</v>
      </c>
      <c r="FP11">
        <v>0</v>
      </c>
      <c r="FQ11">
        <v>0.10814315225120351</v>
      </c>
      <c r="FR11">
        <v>0.33389701786681969</v>
      </c>
      <c r="FS11">
        <v>0.47999781767055572</v>
      </c>
      <c r="FT11">
        <v>0.4982273189005082</v>
      </c>
      <c r="FU11">
        <v>0.46592424159083101</v>
      </c>
      <c r="FV11">
        <v>0.41376314430577193</v>
      </c>
      <c r="FW11">
        <v>0.29177103522657338</v>
      </c>
      <c r="FX11">
        <v>0.10764074163074425</v>
      </c>
      <c r="FY11">
        <v>0</v>
      </c>
      <c r="FZ11">
        <v>0</v>
      </c>
      <c r="GA11">
        <v>1.0888938890644348E-3</v>
      </c>
      <c r="GB11">
        <v>8.6622990153689655E-2</v>
      </c>
      <c r="GC11">
        <v>0.20919659142814076</v>
      </c>
      <c r="GD11">
        <v>0.254709819996709</v>
      </c>
      <c r="GE11">
        <v>0.25973435323107508</v>
      </c>
      <c r="GF11">
        <v>0.19710957184878211</v>
      </c>
      <c r="GG11">
        <v>6.0699826148278284E-2</v>
      </c>
      <c r="GH11">
        <v>4.0107648959460151E-4</v>
      </c>
      <c r="GI11">
        <v>0</v>
      </c>
      <c r="GK11" t="s">
        <v>166</v>
      </c>
      <c r="GL11" t="s">
        <v>221</v>
      </c>
      <c r="GM11" t="s">
        <v>222</v>
      </c>
      <c r="GN11">
        <v>0.46758682003227814</v>
      </c>
    </row>
    <row r="12" spans="2:196" x14ac:dyDescent="0.25">
      <c r="V12" t="s">
        <v>167</v>
      </c>
      <c r="W12" t="s">
        <v>31</v>
      </c>
      <c r="X12">
        <v>0</v>
      </c>
      <c r="Y12">
        <v>0</v>
      </c>
      <c r="Z12">
        <v>0.8861644653882621</v>
      </c>
      <c r="AA12">
        <v>0.30994210004154682</v>
      </c>
      <c r="AB12">
        <v>0.20375697399463694</v>
      </c>
      <c r="AC12">
        <v>0.20916026310868052</v>
      </c>
      <c r="AD12">
        <v>0.3087440589404935</v>
      </c>
      <c r="AE12">
        <v>0.85048645449855997</v>
      </c>
      <c r="AF12">
        <v>0</v>
      </c>
      <c r="AG12">
        <v>0</v>
      </c>
      <c r="AH12">
        <v>0</v>
      </c>
      <c r="AI12">
        <v>0.65029312933392092</v>
      </c>
      <c r="AJ12">
        <v>0.35463603659277998</v>
      </c>
      <c r="AK12">
        <v>0.26356892722773906</v>
      </c>
      <c r="AL12">
        <v>0.18430772789615624</v>
      </c>
      <c r="AM12">
        <v>0.17447395345583325</v>
      </c>
      <c r="AN12">
        <v>0.23347727638256965</v>
      </c>
      <c r="AO12">
        <v>0.31879465298946819</v>
      </c>
      <c r="AP12">
        <v>0.71738211153309417</v>
      </c>
      <c r="AQ12">
        <v>0</v>
      </c>
      <c r="AR12">
        <v>0</v>
      </c>
      <c r="AS12">
        <v>0.39244430510410394</v>
      </c>
      <c r="AT12">
        <v>0.20976112847134323</v>
      </c>
      <c r="AU12">
        <v>0.16203979202919369</v>
      </c>
      <c r="AV12">
        <v>0.12923402099740411</v>
      </c>
      <c r="AW12">
        <v>0.12307341266284021</v>
      </c>
      <c r="AX12">
        <v>0.14335551492297757</v>
      </c>
      <c r="AY12">
        <v>0.19734982965910056</v>
      </c>
      <c r="AZ12">
        <v>0.3793136025557729</v>
      </c>
      <c r="BA12">
        <v>0</v>
      </c>
      <c r="BB12">
        <v>0</v>
      </c>
      <c r="BC12">
        <v>0.95081703404225948</v>
      </c>
      <c r="BD12">
        <v>0.50516705413065088</v>
      </c>
      <c r="BE12">
        <v>0.32199900440734325</v>
      </c>
      <c r="BF12">
        <v>0.23269731190419166</v>
      </c>
      <c r="BG12">
        <v>0.22192960100094106</v>
      </c>
      <c r="BH12">
        <v>0.3055705038205207</v>
      </c>
      <c r="BI12">
        <v>0.64101986996416871</v>
      </c>
      <c r="BJ12">
        <v>0.99450549450549453</v>
      </c>
      <c r="BK12">
        <v>0</v>
      </c>
      <c r="BM12" t="s">
        <v>218</v>
      </c>
      <c r="BN12" t="s">
        <v>217</v>
      </c>
      <c r="BO12">
        <v>8.5294122322471626E-3</v>
      </c>
      <c r="BP12">
        <v>6.4884876481520878E-3</v>
      </c>
      <c r="BQ12">
        <v>1.1036646826906573E-3</v>
      </c>
      <c r="BR12">
        <v>4.7642006889290628E-3</v>
      </c>
      <c r="BS12">
        <v>2.9869162871754999E-4</v>
      </c>
      <c r="BT12">
        <v>2.1058377291712986E-3</v>
      </c>
      <c r="BU12">
        <v>3.4794349783950351E-3</v>
      </c>
      <c r="BV12">
        <v>7.004092428924226E-3</v>
      </c>
      <c r="BW12">
        <v>8.1764788639453309E-4</v>
      </c>
      <c r="BX12">
        <v>5.2783199756611064E-4</v>
      </c>
      <c r="BY12">
        <v>7.1996190988436268E-3</v>
      </c>
      <c r="BZ12">
        <v>6.242409126312614E-3</v>
      </c>
      <c r="CA12">
        <v>0</v>
      </c>
      <c r="CB12">
        <v>2.8950953783281712E-3</v>
      </c>
      <c r="CC12">
        <v>9.5078919820050199E-3</v>
      </c>
      <c r="CD12">
        <v>1.6322205905461799E-2</v>
      </c>
      <c r="CE12">
        <v>1.2673680856028489E-2</v>
      </c>
      <c r="CF12">
        <v>1.4209430009853238E-2</v>
      </c>
      <c r="CG12">
        <v>1.5810105331185445E-2</v>
      </c>
      <c r="CH12">
        <v>1.225130700658127E-2</v>
      </c>
      <c r="CI12">
        <v>1.9421434877025214E-2</v>
      </c>
      <c r="CJ12">
        <v>0</v>
      </c>
      <c r="CK12">
        <v>0</v>
      </c>
      <c r="CL12">
        <v>3.1112954348944616E-3</v>
      </c>
      <c r="CM12">
        <v>1.1597566310698075E-2</v>
      </c>
      <c r="CN12">
        <v>1.2229710550224687E-2</v>
      </c>
      <c r="CO12">
        <v>1.1676281959201906E-2</v>
      </c>
      <c r="CP12">
        <v>9.4076108251422604E-3</v>
      </c>
      <c r="CQ12">
        <v>2.1107266134322157E-2</v>
      </c>
      <c r="CR12">
        <v>3.7016115822714704E-2</v>
      </c>
      <c r="CS12">
        <v>2.0564838702648112E-3</v>
      </c>
      <c r="CT12">
        <v>4.5592522101893284E-3</v>
      </c>
      <c r="CU12">
        <v>1.522730058409247E-3</v>
      </c>
      <c r="CV12">
        <v>6.2928039460454256E-3</v>
      </c>
      <c r="CW12">
        <v>1.4471917519281721E-2</v>
      </c>
      <c r="CX12">
        <v>2.5891090930939701E-3</v>
      </c>
      <c r="CY12">
        <v>1.1271722048851924E-3</v>
      </c>
      <c r="CZ12">
        <v>2.6616845981241072E-3</v>
      </c>
      <c r="DA12">
        <v>1.0204956010596499E-2</v>
      </c>
      <c r="DB12">
        <v>8.0646765295058452E-3</v>
      </c>
      <c r="DD12" t="s">
        <v>218</v>
      </c>
      <c r="DE12" t="s">
        <v>220</v>
      </c>
      <c r="DF12">
        <v>8.5592378864286275E-3</v>
      </c>
      <c r="DG12">
        <v>1.7495885311577409E-2</v>
      </c>
      <c r="DH12">
        <v>1.4480124449021007E-2</v>
      </c>
      <c r="DI12">
        <v>1.8240187477155959E-2</v>
      </c>
      <c r="DJ12">
        <v>1.5538548082798927E-2</v>
      </c>
      <c r="DK12">
        <v>1.3393235400965292E-2</v>
      </c>
      <c r="DL12">
        <v>9.8156348461446285E-3</v>
      </c>
      <c r="DM12">
        <v>9.3285708298501673E-3</v>
      </c>
      <c r="DN12">
        <v>2.2873828324311358E-2</v>
      </c>
      <c r="DO12">
        <v>1.7009333260869085E-2</v>
      </c>
      <c r="DP12">
        <v>1.8860145299350945E-2</v>
      </c>
      <c r="DQ12">
        <v>2.1300849855494512E-2</v>
      </c>
      <c r="DR12">
        <v>2.7405061723802058E-2</v>
      </c>
      <c r="DS12">
        <v>2.3331517106275783E-2</v>
      </c>
      <c r="DT12">
        <v>7.6551353701931326E-3</v>
      </c>
      <c r="DU12">
        <v>5.3086117217091729E-3</v>
      </c>
      <c r="DV12">
        <v>1.6513682852759146E-2</v>
      </c>
      <c r="DW12">
        <v>2.5131474484017747E-2</v>
      </c>
      <c r="DX12">
        <v>2.7217607773498503E-2</v>
      </c>
      <c r="DY12">
        <v>2.8444568305166978E-2</v>
      </c>
      <c r="DZ12">
        <v>4.4987228128862869E-2</v>
      </c>
      <c r="EA12">
        <v>4.5152507915931922E-2</v>
      </c>
      <c r="EB12">
        <v>3.8544373651511511E-2</v>
      </c>
      <c r="EC12">
        <v>2.3467505237990603E-2</v>
      </c>
      <c r="ED12">
        <v>0</v>
      </c>
      <c r="EE12">
        <v>5.5315609097564113E-3</v>
      </c>
      <c r="EF12">
        <v>1.1493507643966427E-2</v>
      </c>
      <c r="EG12">
        <v>1.3842468035170169E-2</v>
      </c>
      <c r="EH12">
        <v>2.9612764395605572E-2</v>
      </c>
      <c r="EI12">
        <v>5.0111856054002007E-2</v>
      </c>
      <c r="EJ12">
        <v>2.547133675721162E-2</v>
      </c>
      <c r="EK12">
        <v>7.4573160768627864E-3</v>
      </c>
      <c r="EL12">
        <v>1.5168224787283564E-2</v>
      </c>
      <c r="EM12">
        <v>1.6244609195270526E-2</v>
      </c>
      <c r="EN12">
        <v>2.1610000334070196E-2</v>
      </c>
      <c r="EO12">
        <v>3.2070514494366612E-2</v>
      </c>
      <c r="EP12">
        <v>3.4645007830359204E-2</v>
      </c>
      <c r="EQ12">
        <v>8.9269549342331934E-3</v>
      </c>
      <c r="ER12">
        <v>1.0808293161478691E-3</v>
      </c>
      <c r="ES12">
        <v>1.0929325126272057E-2</v>
      </c>
      <c r="EU12" t="s">
        <v>167</v>
      </c>
      <c r="EV12">
        <v>0</v>
      </c>
      <c r="EW12">
        <v>0</v>
      </c>
      <c r="EX12">
        <v>5.2806231364832933E-3</v>
      </c>
      <c r="EY12">
        <v>0.1103487933347372</v>
      </c>
      <c r="EZ12">
        <v>0.19564201503022807</v>
      </c>
      <c r="FA12">
        <v>0.20348428816539388</v>
      </c>
      <c r="FB12">
        <v>0.11899062212664835</v>
      </c>
      <c r="FC12">
        <v>1.0121730979231847E-2</v>
      </c>
      <c r="FD12">
        <v>0</v>
      </c>
      <c r="FE12">
        <v>0</v>
      </c>
      <c r="FF12">
        <v>0</v>
      </c>
      <c r="FG12">
        <v>5.3623139867853942E-2</v>
      </c>
      <c r="FH12">
        <v>0.23560679944072363</v>
      </c>
      <c r="FI12">
        <v>0.38612571886536295</v>
      </c>
      <c r="FJ12">
        <v>0.4340482664776294</v>
      </c>
      <c r="FK12">
        <v>0.41669593053339526</v>
      </c>
      <c r="FL12">
        <v>0.34220199016149166</v>
      </c>
      <c r="FM12">
        <v>0.19136519817174047</v>
      </c>
      <c r="FN12">
        <v>2.7757579236787445E-2</v>
      </c>
      <c r="FO12">
        <v>0</v>
      </c>
      <c r="FP12">
        <v>0</v>
      </c>
      <c r="FQ12">
        <v>0.11475405369488359</v>
      </c>
      <c r="FR12">
        <v>0.35507075795953624</v>
      </c>
      <c r="FS12">
        <v>0.48999547847595931</v>
      </c>
      <c r="FT12">
        <v>0.49674553727441373</v>
      </c>
      <c r="FU12">
        <v>0.47412735043584087</v>
      </c>
      <c r="FV12">
        <v>0.42652369395685752</v>
      </c>
      <c r="FW12">
        <v>0.28629111297749193</v>
      </c>
      <c r="FX12">
        <v>9.3603087778762653E-2</v>
      </c>
      <c r="FY12">
        <v>0</v>
      </c>
      <c r="FZ12">
        <v>0</v>
      </c>
      <c r="GA12">
        <v>4.2314050390748204E-3</v>
      </c>
      <c r="GB12">
        <v>0.10709658032941947</v>
      </c>
      <c r="GC12">
        <v>0.24382846300918121</v>
      </c>
      <c r="GD12">
        <v>0.281198519248269</v>
      </c>
      <c r="GE12">
        <v>0.28813060719718192</v>
      </c>
      <c r="GF12">
        <v>0.20869137613577879</v>
      </c>
      <c r="GG12">
        <v>5.5848605343512492E-2</v>
      </c>
      <c r="GH12">
        <v>4.101291939482108E-6</v>
      </c>
      <c r="GI12">
        <v>0</v>
      </c>
      <c r="GK12" t="s">
        <v>167</v>
      </c>
      <c r="GL12" t="s">
        <v>221</v>
      </c>
      <c r="GM12" t="s">
        <v>222</v>
      </c>
      <c r="GN12">
        <v>0.45452197375868025</v>
      </c>
    </row>
    <row r="13" spans="2:196" x14ac:dyDescent="0.25">
      <c r="V13" t="s">
        <v>168</v>
      </c>
      <c r="W13" t="s">
        <v>31</v>
      </c>
      <c r="X13">
        <v>0</v>
      </c>
      <c r="Y13">
        <v>0</v>
      </c>
      <c r="Z13">
        <v>0.88612979217029808</v>
      </c>
      <c r="AA13">
        <v>0.32593548382251974</v>
      </c>
      <c r="AB13">
        <v>0.21352262368824296</v>
      </c>
      <c r="AC13">
        <v>0.22585518219170531</v>
      </c>
      <c r="AD13">
        <v>0.35661175507164944</v>
      </c>
      <c r="AE13">
        <v>0.85434566469730377</v>
      </c>
      <c r="AF13">
        <v>0</v>
      </c>
      <c r="AG13">
        <v>0</v>
      </c>
      <c r="AH13">
        <v>0</v>
      </c>
      <c r="AI13">
        <v>0.63670929620811989</v>
      </c>
      <c r="AJ13">
        <v>0.34455213271289442</v>
      </c>
      <c r="AK13">
        <v>0.2467438423904908</v>
      </c>
      <c r="AL13">
        <v>0.17528356023538555</v>
      </c>
      <c r="AM13">
        <v>0.17885716528823428</v>
      </c>
      <c r="AN13">
        <v>0.23486229069652875</v>
      </c>
      <c r="AO13">
        <v>0.31808602188429735</v>
      </c>
      <c r="AP13">
        <v>0.69294858565958728</v>
      </c>
      <c r="AQ13">
        <v>0</v>
      </c>
      <c r="AR13">
        <v>0</v>
      </c>
      <c r="AS13">
        <v>0.36978290166987615</v>
      </c>
      <c r="AT13">
        <v>0.19439144732292596</v>
      </c>
      <c r="AU13">
        <v>0.15074984472217265</v>
      </c>
      <c r="AV13">
        <v>0.12060786094729176</v>
      </c>
      <c r="AW13">
        <v>0.11635983572220392</v>
      </c>
      <c r="AX13">
        <v>0.14996698433859168</v>
      </c>
      <c r="AY13">
        <v>0.18058404384853396</v>
      </c>
      <c r="AZ13">
        <v>0.35923906026897534</v>
      </c>
      <c r="BA13">
        <v>0</v>
      </c>
      <c r="BB13">
        <v>0</v>
      </c>
      <c r="BC13">
        <v>0.94482795812647891</v>
      </c>
      <c r="BD13">
        <v>0.49813143798729476</v>
      </c>
      <c r="BE13">
        <v>0.29925152071999467</v>
      </c>
      <c r="BF13">
        <v>0.23689038474504207</v>
      </c>
      <c r="BG13">
        <v>0.25122709295900936</v>
      </c>
      <c r="BH13">
        <v>0.33851055832972199</v>
      </c>
      <c r="BI13">
        <v>0.65005969517714757</v>
      </c>
      <c r="BJ13">
        <v>0.99450549450549464</v>
      </c>
      <c r="BK13">
        <v>0</v>
      </c>
      <c r="BM13" t="s">
        <v>219</v>
      </c>
      <c r="BN13" t="s">
        <v>217</v>
      </c>
      <c r="BO13">
        <v>1.1023668982817361E-2</v>
      </c>
      <c r="BP13">
        <v>4.0373127367773461E-3</v>
      </c>
      <c r="BQ13">
        <v>3.4901648245318291E-3</v>
      </c>
      <c r="BR13">
        <v>7.3944777374170293E-3</v>
      </c>
      <c r="BS13">
        <v>7.5463603613791629E-3</v>
      </c>
      <c r="BT13">
        <v>1.1068760517311698E-3</v>
      </c>
      <c r="BU13">
        <v>2.4443033389638137E-3</v>
      </c>
      <c r="BV13">
        <v>1.087501122351126E-2</v>
      </c>
      <c r="BW13">
        <v>1.178687544638469E-2</v>
      </c>
      <c r="BX13">
        <v>3.6297608341224821E-3</v>
      </c>
      <c r="BY13">
        <v>1.0197324391965286E-2</v>
      </c>
      <c r="BZ13">
        <v>1.2012565327569669E-2</v>
      </c>
      <c r="CA13">
        <v>1.1767759568753953E-2</v>
      </c>
      <c r="CB13">
        <v>3.6531253771631242E-3</v>
      </c>
      <c r="CC13">
        <v>1.7673645343834563E-3</v>
      </c>
      <c r="CD13">
        <v>1.1612363900108441E-2</v>
      </c>
      <c r="CE13">
        <v>1.3619051947808639E-2</v>
      </c>
      <c r="CF13">
        <v>1.436078317016219E-3</v>
      </c>
      <c r="CG13">
        <v>1.0595429181206539E-2</v>
      </c>
      <c r="CH13">
        <v>5.9059282885831586E-3</v>
      </c>
      <c r="CI13">
        <v>1.6994272562529462E-2</v>
      </c>
      <c r="CJ13">
        <v>3.8368984813315372E-3</v>
      </c>
      <c r="CK13">
        <v>1.2085174080797687E-2</v>
      </c>
      <c r="CL13">
        <v>1.3204607852061524E-2</v>
      </c>
      <c r="CM13">
        <v>1.6491237845080681E-2</v>
      </c>
      <c r="CN13">
        <v>1.4690476238159505E-2</v>
      </c>
      <c r="CO13">
        <v>2.6270041703540387E-2</v>
      </c>
      <c r="CP13">
        <v>5.8985209229535521E-3</v>
      </c>
      <c r="CQ13">
        <v>1.3060878279086873E-2</v>
      </c>
      <c r="CR13">
        <v>2.0294826634414873E-2</v>
      </c>
      <c r="CS13">
        <v>7.9440209349743527E-3</v>
      </c>
      <c r="CT13">
        <v>7.3418577359935623E-3</v>
      </c>
      <c r="CU13">
        <v>1.1888311117818849E-2</v>
      </c>
      <c r="CV13">
        <v>9.3158145792900139E-3</v>
      </c>
      <c r="CW13">
        <v>5.4677015546884264E-3</v>
      </c>
      <c r="CX13">
        <v>4.3595921754140477E-3</v>
      </c>
      <c r="CY13">
        <v>7.0047627067788111E-3</v>
      </c>
      <c r="CZ13">
        <v>2.9991904671132635E-3</v>
      </c>
      <c r="DA13">
        <v>5.3844540308104274E-3</v>
      </c>
      <c r="DB13">
        <v>8.1282516348781045E-3</v>
      </c>
      <c r="DD13" t="s">
        <v>219</v>
      </c>
      <c r="DE13" t="s">
        <v>220</v>
      </c>
      <c r="DF13">
        <v>1.0739717558877378E-2</v>
      </c>
      <c r="DG13">
        <v>2.3521393943183595E-2</v>
      </c>
      <c r="DH13">
        <v>2.3960542533890433E-2</v>
      </c>
      <c r="DI13">
        <v>1.217395096613952E-2</v>
      </c>
      <c r="DJ13">
        <v>1.833147101085254E-2</v>
      </c>
      <c r="DK13">
        <v>2.0583962335663206E-2</v>
      </c>
      <c r="DL13">
        <v>2.0228530773403478E-2</v>
      </c>
      <c r="DM13">
        <v>5.4924350401468801E-3</v>
      </c>
      <c r="DN13">
        <v>8.9703954648366075E-3</v>
      </c>
      <c r="DO13">
        <v>1.678846872099405E-2</v>
      </c>
      <c r="DP13">
        <v>1.6475535185718253E-2</v>
      </c>
      <c r="DQ13">
        <v>3.0390461364390303E-2</v>
      </c>
      <c r="DR13">
        <v>2.6057822139508323E-2</v>
      </c>
      <c r="DS13">
        <v>2.6879207710563031E-2</v>
      </c>
      <c r="DT13">
        <v>1.4149161648368208E-2</v>
      </c>
      <c r="DU13">
        <v>1.2026134322197912E-2</v>
      </c>
      <c r="DV13">
        <v>3.772492812230673E-3</v>
      </c>
      <c r="DW13">
        <v>1.9696100209467594E-2</v>
      </c>
      <c r="DX13">
        <v>2.5138959361806556E-2</v>
      </c>
      <c r="DY13">
        <v>2.4953314235638568E-2</v>
      </c>
      <c r="DZ13">
        <v>3.2878621574857513E-2</v>
      </c>
      <c r="EA13">
        <v>3.7247634809522603E-2</v>
      </c>
      <c r="EB13">
        <v>2.8771790987688953E-2</v>
      </c>
      <c r="EC13">
        <v>3.0306697511259445E-2</v>
      </c>
      <c r="ED13">
        <v>4.6432937429007018E-2</v>
      </c>
      <c r="EE13">
        <v>6.002536516975894E-2</v>
      </c>
      <c r="EF13">
        <v>2.7302775314484027E-2</v>
      </c>
      <c r="EG13">
        <v>5.5177396018637963E-2</v>
      </c>
      <c r="EH13">
        <v>3.9939503980494041E-2</v>
      </c>
      <c r="EI13">
        <v>2.3996672322991245E-2</v>
      </c>
      <c r="EJ13">
        <v>1.2824834483191581E-2</v>
      </c>
      <c r="EK13">
        <v>1.2884743172362909E-2</v>
      </c>
      <c r="EL13">
        <v>1.3056336388438356E-2</v>
      </c>
      <c r="EM13">
        <v>2.0446357312344447E-2</v>
      </c>
      <c r="EN13">
        <v>2.7653751952886971E-2</v>
      </c>
      <c r="EO13">
        <v>2.2937700958981958E-2</v>
      </c>
      <c r="EP13">
        <v>1.6802339919023145E-2</v>
      </c>
      <c r="EQ13">
        <v>1.9927169978854999E-2</v>
      </c>
      <c r="ER13">
        <v>1.5804441315527697E-2</v>
      </c>
      <c r="ES13">
        <v>7.6156258668677278E-3</v>
      </c>
      <c r="EU13" t="s">
        <v>168</v>
      </c>
      <c r="EV13">
        <v>0</v>
      </c>
      <c r="EW13">
        <v>0</v>
      </c>
      <c r="EX13">
        <v>3.3147042879515488E-3</v>
      </c>
      <c r="EY13">
        <v>9.6766567073195253E-2</v>
      </c>
      <c r="EZ13">
        <v>0.17377247329576337</v>
      </c>
      <c r="FA13">
        <v>0.17613851635290287</v>
      </c>
      <c r="FB13">
        <v>9.1362355042336141E-2</v>
      </c>
      <c r="FC13">
        <v>6.8615314390275007E-3</v>
      </c>
      <c r="FD13">
        <v>0</v>
      </c>
      <c r="FE13">
        <v>0</v>
      </c>
      <c r="FF13">
        <v>0</v>
      </c>
      <c r="FG13">
        <v>5.738570547723109E-2</v>
      </c>
      <c r="FH13">
        <v>0.24106021190891386</v>
      </c>
      <c r="FI13">
        <v>0.39083010849460603</v>
      </c>
      <c r="FJ13">
        <v>0.43516290882440228</v>
      </c>
      <c r="FK13">
        <v>0.41031576984689383</v>
      </c>
      <c r="FL13">
        <v>0.33668878985357237</v>
      </c>
      <c r="FM13">
        <v>0.1935304607466973</v>
      </c>
      <c r="FN13">
        <v>3.1922334914902747E-2</v>
      </c>
      <c r="FO13">
        <v>0</v>
      </c>
      <c r="FP13">
        <v>0</v>
      </c>
      <c r="FQ13">
        <v>0.11823564813790821</v>
      </c>
      <c r="FR13">
        <v>0.3523094440029097</v>
      </c>
      <c r="FS13">
        <v>0.48647976741984389</v>
      </c>
      <c r="FT13">
        <v>0.49712833740053147</v>
      </c>
      <c r="FU13">
        <v>0.46970007613164161</v>
      </c>
      <c r="FV13">
        <v>0.41626512694035439</v>
      </c>
      <c r="FW13">
        <v>0.29023924443240429</v>
      </c>
      <c r="FX13">
        <v>9.8828480536417268E-2</v>
      </c>
      <c r="FY13">
        <v>0</v>
      </c>
      <c r="FZ13">
        <v>0</v>
      </c>
      <c r="GA13">
        <v>4.4077967882155461E-3</v>
      </c>
      <c r="GB13">
        <v>0.10157270218355803</v>
      </c>
      <c r="GC13">
        <v>0.23376059749293618</v>
      </c>
      <c r="GD13">
        <v>0.27401983718765188</v>
      </c>
      <c r="GE13">
        <v>0.26889818416615752</v>
      </c>
      <c r="GF13">
        <v>0.19192071260198965</v>
      </c>
      <c r="GG13">
        <v>5.1810024511961927E-2</v>
      </c>
      <c r="GH13">
        <v>1.3822343949116181E-4</v>
      </c>
      <c r="GI13">
        <v>0</v>
      </c>
      <c r="GK13" t="s">
        <v>168</v>
      </c>
      <c r="GL13" t="s">
        <v>221</v>
      </c>
      <c r="GM13" t="s">
        <v>222</v>
      </c>
      <c r="GN13">
        <v>0.46424227651327699</v>
      </c>
    </row>
    <row r="14" spans="2:196" x14ac:dyDescent="0.25">
      <c r="V14" t="s">
        <v>169</v>
      </c>
      <c r="W14" t="s">
        <v>31</v>
      </c>
      <c r="X14">
        <v>0</v>
      </c>
      <c r="Y14">
        <v>0</v>
      </c>
      <c r="Z14">
        <v>0.92766216196929407</v>
      </c>
      <c r="AA14">
        <v>0.40321332977583507</v>
      </c>
      <c r="AB14">
        <v>0.25783227771946776</v>
      </c>
      <c r="AC14">
        <v>0.2575818691796713</v>
      </c>
      <c r="AD14">
        <v>0.39330643901290352</v>
      </c>
      <c r="AE14">
        <v>0.85418811539997386</v>
      </c>
      <c r="AF14">
        <v>0</v>
      </c>
      <c r="AG14">
        <v>0</v>
      </c>
      <c r="AH14">
        <v>0</v>
      </c>
      <c r="AI14">
        <v>0.64324298616315989</v>
      </c>
      <c r="AJ14">
        <v>0.31749309478263643</v>
      </c>
      <c r="AK14">
        <v>0.20233197498813646</v>
      </c>
      <c r="AL14">
        <v>0.15576659619171734</v>
      </c>
      <c r="AM14">
        <v>0.16959474487119175</v>
      </c>
      <c r="AN14">
        <v>0.2221914794706146</v>
      </c>
      <c r="AO14">
        <v>0.3093715080736128</v>
      </c>
      <c r="AP14">
        <v>0.65922934460677052</v>
      </c>
      <c r="AQ14">
        <v>0</v>
      </c>
      <c r="AR14">
        <v>0</v>
      </c>
      <c r="AS14">
        <v>0.39003191307470603</v>
      </c>
      <c r="AT14">
        <v>0.20818226739919599</v>
      </c>
      <c r="AU14">
        <v>0.14898614017999828</v>
      </c>
      <c r="AV14">
        <v>0.11676384166767527</v>
      </c>
      <c r="AW14">
        <v>0.1178129893799357</v>
      </c>
      <c r="AX14">
        <v>0.15266486641946364</v>
      </c>
      <c r="AY14">
        <v>0.1992239230334317</v>
      </c>
      <c r="AZ14">
        <v>0.34647909917864655</v>
      </c>
      <c r="BA14">
        <v>0</v>
      </c>
      <c r="BB14">
        <v>0</v>
      </c>
      <c r="BC14">
        <v>0.9779473420176501</v>
      </c>
      <c r="BD14">
        <v>0.57799707504823672</v>
      </c>
      <c r="BE14">
        <v>0.3849834065019816</v>
      </c>
      <c r="BF14">
        <v>0.2892878189087702</v>
      </c>
      <c r="BG14">
        <v>0.28143027018921135</v>
      </c>
      <c r="BH14">
        <v>0.35512065224625577</v>
      </c>
      <c r="BI14">
        <v>0.64084176278607474</v>
      </c>
      <c r="BJ14">
        <v>0.98351648351648391</v>
      </c>
      <c r="BK14">
        <v>0</v>
      </c>
      <c r="EU14" t="s">
        <v>169</v>
      </c>
      <c r="EV14">
        <v>0</v>
      </c>
      <c r="EW14">
        <v>0</v>
      </c>
      <c r="EX14">
        <v>2.2073954077813699E-3</v>
      </c>
      <c r="EY14">
        <v>7.9097303612963882E-2</v>
      </c>
      <c r="EZ14">
        <v>0.15008217866460688</v>
      </c>
      <c r="FA14">
        <v>0.14272979052918774</v>
      </c>
      <c r="FB14">
        <v>7.940347419561973E-2</v>
      </c>
      <c r="FC14">
        <v>8.2397228904744959E-3</v>
      </c>
      <c r="FD14">
        <v>0</v>
      </c>
      <c r="FE14">
        <v>0</v>
      </c>
      <c r="FF14">
        <v>0</v>
      </c>
      <c r="FG14">
        <v>5.2861821899994672E-2</v>
      </c>
      <c r="FH14">
        <v>0.25392886597660719</v>
      </c>
      <c r="FI14">
        <v>0.43487013741439146</v>
      </c>
      <c r="FJ14">
        <v>0.46923220941302074</v>
      </c>
      <c r="FK14">
        <v>0.42905422926482489</v>
      </c>
      <c r="FL14">
        <v>0.36169840636932887</v>
      </c>
      <c r="FM14">
        <v>0.20104067205307044</v>
      </c>
      <c r="FN14">
        <v>3.4768902395754177E-2</v>
      </c>
      <c r="FO14">
        <v>0</v>
      </c>
      <c r="FP14">
        <v>0</v>
      </c>
      <c r="FQ14">
        <v>0.11588993818117314</v>
      </c>
      <c r="FR14">
        <v>0.34022843833629185</v>
      </c>
      <c r="FS14">
        <v>0.4786379138009817</v>
      </c>
      <c r="FT14">
        <v>0.50035329524396877</v>
      </c>
      <c r="FU14">
        <v>0.48565806179080367</v>
      </c>
      <c r="FV14">
        <v>0.42848207849062309</v>
      </c>
      <c r="FW14">
        <v>0.29949589414336286</v>
      </c>
      <c r="FX14">
        <v>0.11654708360991903</v>
      </c>
      <c r="FY14">
        <v>0</v>
      </c>
      <c r="FZ14">
        <v>0</v>
      </c>
      <c r="GA14">
        <v>1.4367653465962498E-3</v>
      </c>
      <c r="GB14">
        <v>8.2308981189631009E-2</v>
      </c>
      <c r="GC14">
        <v>0.20089660880672919</v>
      </c>
      <c r="GD14">
        <v>0.24719837276764869</v>
      </c>
      <c r="GE14">
        <v>0.24861376254691106</v>
      </c>
      <c r="GF14">
        <v>0.18389584989003546</v>
      </c>
      <c r="GG14">
        <v>5.7152776185997137E-2</v>
      </c>
      <c r="GH14">
        <v>5.6068037867730374E-4</v>
      </c>
      <c r="GI14">
        <v>0</v>
      </c>
      <c r="GK14" t="s">
        <v>169</v>
      </c>
      <c r="GL14" t="s">
        <v>221</v>
      </c>
      <c r="GM14" t="s">
        <v>222</v>
      </c>
      <c r="GN14">
        <v>0.46600952499447967</v>
      </c>
    </row>
    <row r="15" spans="2:196" x14ac:dyDescent="0.25">
      <c r="V15" t="s">
        <v>170</v>
      </c>
      <c r="W15" t="s">
        <v>31</v>
      </c>
      <c r="X15">
        <v>0</v>
      </c>
      <c r="Y15">
        <v>0</v>
      </c>
      <c r="Z15">
        <v>0.89862792290934257</v>
      </c>
      <c r="AA15">
        <v>0.38991342907510262</v>
      </c>
      <c r="AB15">
        <v>0.25945688825960828</v>
      </c>
      <c r="AC15">
        <v>0.25520271815984258</v>
      </c>
      <c r="AD15">
        <v>0.42048846980216092</v>
      </c>
      <c r="AE15">
        <v>0.86068015605209935</v>
      </c>
      <c r="AF15">
        <v>0</v>
      </c>
      <c r="AG15">
        <v>0</v>
      </c>
      <c r="AH15">
        <v>0</v>
      </c>
      <c r="AI15">
        <v>0.62949090532851448</v>
      </c>
      <c r="AJ15">
        <v>0.32714975922090217</v>
      </c>
      <c r="AK15">
        <v>0.20681748867155944</v>
      </c>
      <c r="AL15">
        <v>0.15549928301142593</v>
      </c>
      <c r="AM15">
        <v>0.15671132371382474</v>
      </c>
      <c r="AN15">
        <v>0.21395874491668515</v>
      </c>
      <c r="AO15">
        <v>0.31476331969178178</v>
      </c>
      <c r="AP15">
        <v>0.68682674234291807</v>
      </c>
      <c r="AQ15">
        <v>0</v>
      </c>
      <c r="AR15">
        <v>0</v>
      </c>
      <c r="AS15">
        <v>0.33272789018779309</v>
      </c>
      <c r="AT15">
        <v>0.19399888280996214</v>
      </c>
      <c r="AU15">
        <v>0.14509325909408063</v>
      </c>
      <c r="AV15">
        <v>0.11624090401900257</v>
      </c>
      <c r="AW15">
        <v>0.11366162903470309</v>
      </c>
      <c r="AX15">
        <v>0.13853122215432484</v>
      </c>
      <c r="AY15">
        <v>0.18619402019252904</v>
      </c>
      <c r="AZ15">
        <v>0.33637575634054745</v>
      </c>
      <c r="BA15">
        <v>0</v>
      </c>
      <c r="BB15">
        <v>0</v>
      </c>
      <c r="BC15">
        <v>0.94543087121765934</v>
      </c>
      <c r="BD15">
        <v>0.53733192867977764</v>
      </c>
      <c r="BE15">
        <v>0.35375077460716181</v>
      </c>
      <c r="BF15">
        <v>0.27444517852363276</v>
      </c>
      <c r="BG15">
        <v>0.28087249489174426</v>
      </c>
      <c r="BH15">
        <v>0.37100918651374348</v>
      </c>
      <c r="BI15">
        <v>0.65520060499251709</v>
      </c>
      <c r="BJ15">
        <v>0.98901098901098905</v>
      </c>
      <c r="BK15">
        <v>0</v>
      </c>
      <c r="EU15" t="s">
        <v>170</v>
      </c>
      <c r="EV15">
        <v>0</v>
      </c>
      <c r="EW15">
        <v>0</v>
      </c>
      <c r="EX15">
        <v>2.8870314070991226E-3</v>
      </c>
      <c r="EY15">
        <v>8.4867099779988076E-2</v>
      </c>
      <c r="EZ15">
        <v>0.14656375187032972</v>
      </c>
      <c r="FA15">
        <v>0.14231766469911858</v>
      </c>
      <c r="FB15">
        <v>6.9975309407755606E-2</v>
      </c>
      <c r="FC15">
        <v>6.2912316726919833E-3</v>
      </c>
      <c r="FD15">
        <v>0</v>
      </c>
      <c r="FE15">
        <v>0</v>
      </c>
      <c r="FF15">
        <v>0</v>
      </c>
      <c r="FG15">
        <v>5.9668149862983924E-2</v>
      </c>
      <c r="FH15">
        <v>0.26057988480350092</v>
      </c>
      <c r="FI15">
        <v>0.44602225563425141</v>
      </c>
      <c r="FJ15">
        <v>0.47485475211587869</v>
      </c>
      <c r="FK15">
        <v>0.44409481595077299</v>
      </c>
      <c r="FL15">
        <v>0.36420043620641368</v>
      </c>
      <c r="FM15">
        <v>0.20411729060934469</v>
      </c>
      <c r="FN15">
        <v>3.3424724149199246E-2</v>
      </c>
      <c r="FO15">
        <v>0</v>
      </c>
      <c r="FP15">
        <v>0</v>
      </c>
      <c r="FQ15">
        <v>0.13167379866875936</v>
      </c>
      <c r="FR15">
        <v>0.35415689121691346</v>
      </c>
      <c r="FS15">
        <v>0.48062007048277677</v>
      </c>
      <c r="FT15">
        <v>0.49884101546671789</v>
      </c>
      <c r="FU15">
        <v>0.47683439421242968</v>
      </c>
      <c r="FV15">
        <v>0.42772179386625159</v>
      </c>
      <c r="FW15">
        <v>0.29272056400751645</v>
      </c>
      <c r="FX15">
        <v>0.1108720509627024</v>
      </c>
      <c r="FY15">
        <v>0</v>
      </c>
      <c r="FZ15">
        <v>0</v>
      </c>
      <c r="GA15">
        <v>6.158151464924105E-3</v>
      </c>
      <c r="GB15">
        <v>0.10312809412317099</v>
      </c>
      <c r="GC15">
        <v>0.22835403473610655</v>
      </c>
      <c r="GD15">
        <v>0.25281209293932166</v>
      </c>
      <c r="GE15">
        <v>0.24841849701406335</v>
      </c>
      <c r="GF15">
        <v>0.17321242721405683</v>
      </c>
      <c r="GG15">
        <v>5.0153077613874449E-2</v>
      </c>
      <c r="GH15">
        <v>3.6529177269641744E-4</v>
      </c>
      <c r="GI15">
        <v>0</v>
      </c>
      <c r="GK15" t="s">
        <v>170</v>
      </c>
      <c r="GL15" t="s">
        <v>221</v>
      </c>
      <c r="GM15" t="s">
        <v>222</v>
      </c>
      <c r="GN15">
        <v>0.45651415445419835</v>
      </c>
    </row>
    <row r="16" spans="2:196" x14ac:dyDescent="0.25">
      <c r="V16" t="s">
        <v>171</v>
      </c>
      <c r="W16" t="s">
        <v>31</v>
      </c>
      <c r="X16">
        <v>0</v>
      </c>
      <c r="Y16">
        <v>0</v>
      </c>
      <c r="Z16">
        <v>0.86576363233479936</v>
      </c>
      <c r="AA16">
        <v>0.34957974987480656</v>
      </c>
      <c r="AB16">
        <v>0.25434798212965481</v>
      </c>
      <c r="AC16">
        <v>0.26957098349977165</v>
      </c>
      <c r="AD16">
        <v>0.47897751483801865</v>
      </c>
      <c r="AE16">
        <v>0.91672231599239751</v>
      </c>
      <c r="AF16">
        <v>0</v>
      </c>
      <c r="AG16">
        <v>0</v>
      </c>
      <c r="AH16">
        <v>0.98913043478260843</v>
      </c>
      <c r="AI16">
        <v>0.57960841739427515</v>
      </c>
      <c r="AJ16">
        <v>0.27310253083040559</v>
      </c>
      <c r="AK16">
        <v>0.1752335747561701</v>
      </c>
      <c r="AL16">
        <v>0.12768013312052037</v>
      </c>
      <c r="AM16">
        <v>0.1460622515805082</v>
      </c>
      <c r="AN16">
        <v>0.21131507927537846</v>
      </c>
      <c r="AO16">
        <v>0.33229260950124578</v>
      </c>
      <c r="AP16">
        <v>0.75623470279183003</v>
      </c>
      <c r="AQ16">
        <v>0</v>
      </c>
      <c r="AR16">
        <v>0.91681689238852848</v>
      </c>
      <c r="AS16">
        <v>0.30758714026516737</v>
      </c>
      <c r="AT16">
        <v>0.17558571257177349</v>
      </c>
      <c r="AU16">
        <v>0.14559401704404099</v>
      </c>
      <c r="AV16">
        <v>0.11973038947051451</v>
      </c>
      <c r="AW16">
        <v>0.11702033089645214</v>
      </c>
      <c r="AX16">
        <v>0.13182668865378255</v>
      </c>
      <c r="AY16">
        <v>0.18825448883626622</v>
      </c>
      <c r="AZ16">
        <v>0.3922627748331487</v>
      </c>
      <c r="BA16">
        <v>0</v>
      </c>
      <c r="BB16">
        <v>0</v>
      </c>
      <c r="BC16">
        <v>0.9192450917179924</v>
      </c>
      <c r="BD16">
        <v>0.51652972234864991</v>
      </c>
      <c r="BE16">
        <v>0.3398041255504512</v>
      </c>
      <c r="BF16">
        <v>0.26613846011948672</v>
      </c>
      <c r="BG16">
        <v>0.29629743827369703</v>
      </c>
      <c r="BH16">
        <v>0.42210142353414015</v>
      </c>
      <c r="BI16">
        <v>0.7272678182330985</v>
      </c>
      <c r="BJ16">
        <v>0</v>
      </c>
      <c r="BK16">
        <v>0</v>
      </c>
      <c r="EU16" t="s">
        <v>171</v>
      </c>
      <c r="EV16">
        <v>0</v>
      </c>
      <c r="EW16">
        <v>0</v>
      </c>
      <c r="EX16">
        <v>7.2024150117052663E-3</v>
      </c>
      <c r="EY16">
        <v>8.972460913740829E-2</v>
      </c>
      <c r="EZ16">
        <v>0.1492320655368152</v>
      </c>
      <c r="FA16">
        <v>0.13685815877835264</v>
      </c>
      <c r="FB16">
        <v>5.7185710609872702E-2</v>
      </c>
      <c r="FC16">
        <v>4.3116690800404037E-3</v>
      </c>
      <c r="FD16">
        <v>0</v>
      </c>
      <c r="FE16">
        <v>0</v>
      </c>
      <c r="FF16">
        <v>2.4876552768325502E-4</v>
      </c>
      <c r="FG16">
        <v>8.3604580562593747E-2</v>
      </c>
      <c r="FH16">
        <v>0.32477886376383053</v>
      </c>
      <c r="FI16">
        <v>0.48899793627281168</v>
      </c>
      <c r="FJ16">
        <v>0.4880761635803193</v>
      </c>
      <c r="FK16">
        <v>0.47285259549273301</v>
      </c>
      <c r="FL16">
        <v>0.38957267946444657</v>
      </c>
      <c r="FM16">
        <v>0.20531238564270432</v>
      </c>
      <c r="FN16">
        <v>2.6137833851102611E-2</v>
      </c>
      <c r="FO16">
        <v>0</v>
      </c>
      <c r="FP16">
        <v>3.112127398734317E-3</v>
      </c>
      <c r="FQ16">
        <v>0.1590893055999669</v>
      </c>
      <c r="FR16">
        <v>0.37223833640836729</v>
      </c>
      <c r="FS16">
        <v>0.47787957754601335</v>
      </c>
      <c r="FT16">
        <v>0.48030448900192541</v>
      </c>
      <c r="FU16">
        <v>0.47313607470577634</v>
      </c>
      <c r="FV16">
        <v>0.41979126123474275</v>
      </c>
      <c r="FW16">
        <v>0.28289718569552991</v>
      </c>
      <c r="FX16">
        <v>8.999110005638189E-2</v>
      </c>
      <c r="FY16">
        <v>0</v>
      </c>
      <c r="FZ16">
        <v>0</v>
      </c>
      <c r="GA16">
        <v>8.4469516840993096E-3</v>
      </c>
      <c r="GB16">
        <v>0.10427865276359265</v>
      </c>
      <c r="GC16">
        <v>0.21875459209313045</v>
      </c>
      <c r="GD16">
        <v>0.23619751166397179</v>
      </c>
      <c r="GE16">
        <v>0.23573349533788104</v>
      </c>
      <c r="GF16">
        <v>0.15344170124084683</v>
      </c>
      <c r="GG16">
        <v>4.4319868993194081E-2</v>
      </c>
      <c r="GH16">
        <v>0</v>
      </c>
      <c r="GI16">
        <v>0</v>
      </c>
      <c r="GK16" t="s">
        <v>171</v>
      </c>
      <c r="GL16" t="s">
        <v>221</v>
      </c>
      <c r="GM16" t="s">
        <v>222</v>
      </c>
      <c r="GN16">
        <v>0.44799200058903993</v>
      </c>
    </row>
    <row r="17" spans="22:196" x14ac:dyDescent="0.25">
      <c r="V17" t="s">
        <v>172</v>
      </c>
      <c r="W17" t="s">
        <v>31</v>
      </c>
      <c r="X17">
        <v>0</v>
      </c>
      <c r="Y17">
        <v>0</v>
      </c>
      <c r="Z17">
        <v>0.90786497835734647</v>
      </c>
      <c r="AA17">
        <v>0.40537874640232457</v>
      </c>
      <c r="AB17">
        <v>0.2960303573760486</v>
      </c>
      <c r="AC17">
        <v>0.28183295225845467</v>
      </c>
      <c r="AD17">
        <v>0.43543547028629315</v>
      </c>
      <c r="AE17">
        <v>0.88090305718926565</v>
      </c>
      <c r="AF17">
        <v>0</v>
      </c>
      <c r="AG17">
        <v>0</v>
      </c>
      <c r="AH17">
        <v>0</v>
      </c>
      <c r="AI17">
        <v>0.60065413920117272</v>
      </c>
      <c r="AJ17">
        <v>0.27579480095853592</v>
      </c>
      <c r="AK17">
        <v>0.15627250226553627</v>
      </c>
      <c r="AL17">
        <v>0.12229611140226877</v>
      </c>
      <c r="AM17">
        <v>0.13452909459960688</v>
      </c>
      <c r="AN17">
        <v>0.18767407601259276</v>
      </c>
      <c r="AO17">
        <v>0.28146396430965986</v>
      </c>
      <c r="AP17">
        <v>0.6614265803412962</v>
      </c>
      <c r="AQ17">
        <v>0</v>
      </c>
      <c r="AR17">
        <v>0.97826086956521729</v>
      </c>
      <c r="AS17">
        <v>0.33837622057150663</v>
      </c>
      <c r="AT17">
        <v>0.20363551201117391</v>
      </c>
      <c r="AU17">
        <v>0.15244053984608971</v>
      </c>
      <c r="AV17">
        <v>0.11044599150234845</v>
      </c>
      <c r="AW17">
        <v>0.10343960921148379</v>
      </c>
      <c r="AX17">
        <v>0.12889617090377423</v>
      </c>
      <c r="AY17">
        <v>0.17942522580014128</v>
      </c>
      <c r="AZ17">
        <v>0.32369184100221504</v>
      </c>
      <c r="BA17">
        <v>0</v>
      </c>
      <c r="BB17">
        <v>0</v>
      </c>
      <c r="BC17">
        <v>0.94941609695889106</v>
      </c>
      <c r="BD17">
        <v>0.55130547328803903</v>
      </c>
      <c r="BE17">
        <v>0.34948872934817155</v>
      </c>
      <c r="BF17">
        <v>0.27849665262825457</v>
      </c>
      <c r="BG17">
        <v>0.28845372869475927</v>
      </c>
      <c r="BH17">
        <v>0.38530701081185148</v>
      </c>
      <c r="BI17">
        <v>0.66930727947822766</v>
      </c>
      <c r="BJ17">
        <v>0.98351648351648346</v>
      </c>
      <c r="BK17">
        <v>0</v>
      </c>
      <c r="EU17" t="s">
        <v>172</v>
      </c>
      <c r="EV17">
        <v>0</v>
      </c>
      <c r="EW17">
        <v>0</v>
      </c>
      <c r="EX17">
        <v>3.6780568956651999E-3</v>
      </c>
      <c r="EY17">
        <v>7.559271283456738E-2</v>
      </c>
      <c r="EZ17">
        <v>0.14693570913465062</v>
      </c>
      <c r="FA17">
        <v>0.14094421324327966</v>
      </c>
      <c r="FB17">
        <v>7.3554187027737167E-2</v>
      </c>
      <c r="FC17">
        <v>8.0583936047946315E-3</v>
      </c>
      <c r="FD17">
        <v>0</v>
      </c>
      <c r="FE17">
        <v>0</v>
      </c>
      <c r="FF17">
        <v>0</v>
      </c>
      <c r="FG17">
        <v>6.7658818348174998E-2</v>
      </c>
      <c r="FH17">
        <v>0.29254482910914376</v>
      </c>
      <c r="FI17">
        <v>0.49077585957090586</v>
      </c>
      <c r="FJ17">
        <v>0.50640375061152132</v>
      </c>
      <c r="FK17">
        <v>0.4765535629000433</v>
      </c>
      <c r="FL17">
        <v>0.42093324219814682</v>
      </c>
      <c r="FM17">
        <v>0.25018414720624838</v>
      </c>
      <c r="FN17">
        <v>4.3371203269946104E-2</v>
      </c>
      <c r="FO17">
        <v>0</v>
      </c>
      <c r="FP17">
        <v>5.2924685041540938E-6</v>
      </c>
      <c r="FQ17">
        <v>0.1373621286000869</v>
      </c>
      <c r="FR17">
        <v>0.34041293107097487</v>
      </c>
      <c r="FS17">
        <v>0.46231613526199561</v>
      </c>
      <c r="FT17">
        <v>0.4901202291603724</v>
      </c>
      <c r="FU17">
        <v>0.4853307079756437</v>
      </c>
      <c r="FV17">
        <v>0.4530105351469052</v>
      </c>
      <c r="FW17">
        <v>0.33270474013478513</v>
      </c>
      <c r="FX17">
        <v>0.12755799891718836</v>
      </c>
      <c r="FY17">
        <v>0</v>
      </c>
      <c r="FZ17">
        <v>0</v>
      </c>
      <c r="GA17">
        <v>7.1468001473848214E-3</v>
      </c>
      <c r="GB17">
        <v>0.10523374875702861</v>
      </c>
      <c r="GC17">
        <v>0.23163703413534675</v>
      </c>
      <c r="GD17">
        <v>0.24460823202849169</v>
      </c>
      <c r="GE17">
        <v>0.24625163792899232</v>
      </c>
      <c r="GF17">
        <v>0.18341201878108998</v>
      </c>
      <c r="GG17">
        <v>6.1263043413865445E-2</v>
      </c>
      <c r="GH17">
        <v>3.5466403121358595E-4</v>
      </c>
      <c r="GI17">
        <v>0</v>
      </c>
      <c r="GK17" t="s">
        <v>172</v>
      </c>
      <c r="GL17" t="s">
        <v>221</v>
      </c>
      <c r="GM17" t="s">
        <v>222</v>
      </c>
      <c r="GN17">
        <v>0.45748330364148537</v>
      </c>
    </row>
    <row r="18" spans="22:196" x14ac:dyDescent="0.25">
      <c r="V18" t="s">
        <v>173</v>
      </c>
      <c r="W18" t="s">
        <v>31</v>
      </c>
      <c r="X18">
        <v>0</v>
      </c>
      <c r="Y18">
        <v>0</v>
      </c>
      <c r="Z18">
        <v>0.88692584996889401</v>
      </c>
      <c r="AA18">
        <v>0.36258079521153047</v>
      </c>
      <c r="AB18">
        <v>0.26469736531803412</v>
      </c>
      <c r="AC18">
        <v>0.27734360380670414</v>
      </c>
      <c r="AD18">
        <v>0.46263703154698155</v>
      </c>
      <c r="AE18">
        <v>0.89493823712156328</v>
      </c>
      <c r="AF18">
        <v>0</v>
      </c>
      <c r="AG18">
        <v>0</v>
      </c>
      <c r="AH18">
        <v>0</v>
      </c>
      <c r="AI18">
        <v>0.60345790308666214</v>
      </c>
      <c r="AJ18">
        <v>0.28263444455695125</v>
      </c>
      <c r="AK18">
        <v>0.16488675950467294</v>
      </c>
      <c r="AL18">
        <v>0.11265103220490834</v>
      </c>
      <c r="AM18">
        <v>0.12816427320304485</v>
      </c>
      <c r="AN18">
        <v>0.19570560411617216</v>
      </c>
      <c r="AO18">
        <v>0.31260618354452258</v>
      </c>
      <c r="AP18">
        <v>0.71866292263418385</v>
      </c>
      <c r="AQ18">
        <v>0</v>
      </c>
      <c r="AR18">
        <v>0.93992652794520803</v>
      </c>
      <c r="AS18">
        <v>0.31906773021281892</v>
      </c>
      <c r="AT18">
        <v>0.18041602849523805</v>
      </c>
      <c r="AU18">
        <v>0.14187037161572344</v>
      </c>
      <c r="AV18">
        <v>0.122319174654788</v>
      </c>
      <c r="AW18">
        <v>0.11928777964653937</v>
      </c>
      <c r="AX18">
        <v>0.13440372887188698</v>
      </c>
      <c r="AY18">
        <v>0.19293704595504091</v>
      </c>
      <c r="AZ18">
        <v>0.36740276990140447</v>
      </c>
      <c r="BA18">
        <v>0</v>
      </c>
      <c r="BB18">
        <v>0</v>
      </c>
      <c r="BC18">
        <v>0.92650817742426028</v>
      </c>
      <c r="BD18">
        <v>0.50788718918095366</v>
      </c>
      <c r="BE18">
        <v>0.33192040413961205</v>
      </c>
      <c r="BF18">
        <v>0.2635642640720684</v>
      </c>
      <c r="BG18">
        <v>0.29602254918484089</v>
      </c>
      <c r="BH18">
        <v>0.40911629023231855</v>
      </c>
      <c r="BI18">
        <v>0.70074221378843538</v>
      </c>
      <c r="BJ18">
        <v>0</v>
      </c>
      <c r="BK18">
        <v>0</v>
      </c>
      <c r="EU18" t="s">
        <v>173</v>
      </c>
      <c r="EV18">
        <v>0</v>
      </c>
      <c r="EW18">
        <v>0</v>
      </c>
      <c r="EX18">
        <v>5.5032199663315583E-3</v>
      </c>
      <c r="EY18">
        <v>9.0129538999025413E-2</v>
      </c>
      <c r="EZ18">
        <v>0.15811464023687385</v>
      </c>
      <c r="FA18">
        <v>0.14578603429473999</v>
      </c>
      <c r="FB18">
        <v>6.7412576382397602E-2</v>
      </c>
      <c r="FC18">
        <v>5.3770473219895499E-3</v>
      </c>
      <c r="FD18">
        <v>0</v>
      </c>
      <c r="FE18">
        <v>0</v>
      </c>
      <c r="FF18">
        <v>0</v>
      </c>
      <c r="FG18">
        <v>7.3619479175161706E-2</v>
      </c>
      <c r="FH18">
        <v>0.30617358395481198</v>
      </c>
      <c r="FI18">
        <v>0.49827021730505788</v>
      </c>
      <c r="FJ18">
        <v>0.51945801654302159</v>
      </c>
      <c r="FK18">
        <v>0.49392014228737935</v>
      </c>
      <c r="FL18">
        <v>0.41397366807043168</v>
      </c>
      <c r="FM18">
        <v>0.22086237611421658</v>
      </c>
      <c r="FN18">
        <v>3.1804099283847254E-2</v>
      </c>
      <c r="FO18">
        <v>0</v>
      </c>
      <c r="FP18">
        <v>1.0497284540083476E-3</v>
      </c>
      <c r="FQ18">
        <v>0.14677139515687643</v>
      </c>
      <c r="FR18">
        <v>0.36008354932155978</v>
      </c>
      <c r="FS18">
        <v>0.47722629337547601</v>
      </c>
      <c r="FT18">
        <v>0.48354084032604955</v>
      </c>
      <c r="FU18">
        <v>0.46630500359629912</v>
      </c>
      <c r="FV18">
        <v>0.41898585932456561</v>
      </c>
      <c r="FW18">
        <v>0.28700575336803608</v>
      </c>
      <c r="FX18">
        <v>9.9571945681600771E-2</v>
      </c>
      <c r="FY18">
        <v>0</v>
      </c>
      <c r="FZ18">
        <v>0</v>
      </c>
      <c r="GA18">
        <v>7.7137418116772112E-3</v>
      </c>
      <c r="GB18">
        <v>0.11134751261415035</v>
      </c>
      <c r="GC18">
        <v>0.23615715583881455</v>
      </c>
      <c r="GD18">
        <v>0.25116845818420042</v>
      </c>
      <c r="GE18">
        <v>0.24548026250292451</v>
      </c>
      <c r="GF18">
        <v>0.16733769030825899</v>
      </c>
      <c r="GG18">
        <v>5.1282718527089134E-2</v>
      </c>
      <c r="GH18">
        <v>0</v>
      </c>
      <c r="GI18">
        <v>0</v>
      </c>
      <c r="GK18" t="s">
        <v>173</v>
      </c>
      <c r="GL18" t="s">
        <v>221</v>
      </c>
      <c r="GM18" t="s">
        <v>222</v>
      </c>
      <c r="GN18">
        <v>0.45703603791152136</v>
      </c>
    </row>
    <row r="19" spans="22:196" x14ac:dyDescent="0.25">
      <c r="V19" t="s">
        <v>174</v>
      </c>
      <c r="W19" t="s">
        <v>31</v>
      </c>
      <c r="X19">
        <v>0</v>
      </c>
      <c r="Y19">
        <v>0</v>
      </c>
      <c r="Z19">
        <v>0.81455871790854373</v>
      </c>
      <c r="AA19">
        <v>0.32454518033618895</v>
      </c>
      <c r="AB19">
        <v>0.21035853234792801</v>
      </c>
      <c r="AC19">
        <v>0.25971560721443399</v>
      </c>
      <c r="AD19">
        <v>0.49667943570541467</v>
      </c>
      <c r="AE19">
        <v>0.92745832347017032</v>
      </c>
      <c r="AF19">
        <v>0</v>
      </c>
      <c r="AG19">
        <v>0</v>
      </c>
      <c r="AH19">
        <v>0.98728648163002763</v>
      </c>
      <c r="AI19">
        <v>0.54042628810312299</v>
      </c>
      <c r="AJ19">
        <v>0.31318195691657136</v>
      </c>
      <c r="AK19">
        <v>0.22569298063087195</v>
      </c>
      <c r="AL19">
        <v>0.16285079827203591</v>
      </c>
      <c r="AM19">
        <v>0.18575053760898591</v>
      </c>
      <c r="AN19">
        <v>0.25832143725844386</v>
      </c>
      <c r="AO19">
        <v>0.37671777950211799</v>
      </c>
      <c r="AP19">
        <v>0.80536136606945297</v>
      </c>
      <c r="AQ19">
        <v>0</v>
      </c>
      <c r="AR19">
        <v>0.91497846620550471</v>
      </c>
      <c r="AS19">
        <v>0.26288873492412057</v>
      </c>
      <c r="AT19">
        <v>0.1564349374135339</v>
      </c>
      <c r="AU19">
        <v>0.13625991454418937</v>
      </c>
      <c r="AV19">
        <v>0.10849650101597458</v>
      </c>
      <c r="AW19">
        <v>0.1265603716143108</v>
      </c>
      <c r="AX19">
        <v>0.14930254849995236</v>
      </c>
      <c r="AY19">
        <v>0.18782666278167587</v>
      </c>
      <c r="AZ19">
        <v>0.45947625314692536</v>
      </c>
      <c r="BA19">
        <v>0</v>
      </c>
      <c r="BB19">
        <v>0</v>
      </c>
      <c r="BC19">
        <v>0.89443596675330306</v>
      </c>
      <c r="BD19">
        <v>0.47428301584648164</v>
      </c>
      <c r="BE19">
        <v>0.32301461575078838</v>
      </c>
      <c r="BF19">
        <v>0.25463547257974001</v>
      </c>
      <c r="BG19">
        <v>0.29397390338684548</v>
      </c>
      <c r="BH19">
        <v>0.43893867225809413</v>
      </c>
      <c r="BI19">
        <v>0.75837349223772954</v>
      </c>
      <c r="BJ19">
        <v>0</v>
      </c>
      <c r="BK19">
        <v>0</v>
      </c>
      <c r="EU19" t="s">
        <v>174</v>
      </c>
      <c r="EV19">
        <v>0</v>
      </c>
      <c r="EW19">
        <v>0</v>
      </c>
      <c r="EX19">
        <v>1.0917610584553953E-2</v>
      </c>
      <c r="EY19">
        <v>0.11424313430120764</v>
      </c>
      <c r="EZ19">
        <v>0.16775481842053849</v>
      </c>
      <c r="FA19">
        <v>0.16911069669978496</v>
      </c>
      <c r="FB19">
        <v>6.9832914809984617E-2</v>
      </c>
      <c r="FC19">
        <v>4.5331915322637077E-3</v>
      </c>
      <c r="FD19">
        <v>0</v>
      </c>
      <c r="FE19">
        <v>0</v>
      </c>
      <c r="FF19">
        <v>3.1388143269885641E-4</v>
      </c>
      <c r="FG19">
        <v>0.10623738009802676</v>
      </c>
      <c r="FH19">
        <v>0.33006469599538646</v>
      </c>
      <c r="FI19">
        <v>0.4561825673575613</v>
      </c>
      <c r="FJ19">
        <v>0.45964126927986176</v>
      </c>
      <c r="FK19">
        <v>0.44180541412611046</v>
      </c>
      <c r="FL19">
        <v>0.34846852214584023</v>
      </c>
      <c r="FM19">
        <v>0.17398900324417332</v>
      </c>
      <c r="FN19">
        <v>1.7326756581403563E-2</v>
      </c>
      <c r="FO19">
        <v>0</v>
      </c>
      <c r="FP19">
        <v>4.5654985613954174E-3</v>
      </c>
      <c r="FQ19">
        <v>0.18956926456684819</v>
      </c>
      <c r="FR19">
        <v>0.4019407195948938</v>
      </c>
      <c r="FS19">
        <v>0.4912890035587909</v>
      </c>
      <c r="FT19">
        <v>0.4825386087287738</v>
      </c>
      <c r="FU19">
        <v>0.46051795419459002</v>
      </c>
      <c r="FV19">
        <v>0.40331003166448282</v>
      </c>
      <c r="FW19">
        <v>0.25870633147112959</v>
      </c>
      <c r="FX19">
        <v>6.2964801971921919E-2</v>
      </c>
      <c r="FY19">
        <v>0</v>
      </c>
      <c r="FZ19">
        <v>0</v>
      </c>
      <c r="GA19">
        <v>1.1998263742275138E-2</v>
      </c>
      <c r="GB19">
        <v>0.12364091590535202</v>
      </c>
      <c r="GC19">
        <v>0.23373682430094761</v>
      </c>
      <c r="GD19">
        <v>0.24004656963958251</v>
      </c>
      <c r="GE19">
        <v>0.2316599693708212</v>
      </c>
      <c r="GF19">
        <v>0.145418128181178</v>
      </c>
      <c r="GG19">
        <v>3.9487223885110251E-2</v>
      </c>
      <c r="GH19">
        <v>0</v>
      </c>
      <c r="GI19">
        <v>0</v>
      </c>
      <c r="GK19" t="s">
        <v>174</v>
      </c>
      <c r="GL19" t="s">
        <v>221</v>
      </c>
      <c r="GM19" t="s">
        <v>222</v>
      </c>
      <c r="GN19">
        <v>0.43086416978663267</v>
      </c>
    </row>
    <row r="20" spans="22:196" x14ac:dyDescent="0.25">
      <c r="V20" t="s">
        <v>175</v>
      </c>
      <c r="W20" t="s">
        <v>31</v>
      </c>
      <c r="X20">
        <v>0</v>
      </c>
      <c r="Y20">
        <v>0</v>
      </c>
      <c r="Z20">
        <v>0.86017363704560745</v>
      </c>
      <c r="AA20">
        <v>0.36734555792203166</v>
      </c>
      <c r="AB20">
        <v>0.26262153843651487</v>
      </c>
      <c r="AC20">
        <v>0.30414342957484314</v>
      </c>
      <c r="AD20">
        <v>0.50590547169002298</v>
      </c>
      <c r="AE20">
        <v>0.93583465834370039</v>
      </c>
      <c r="AF20">
        <v>0</v>
      </c>
      <c r="AG20">
        <v>0</v>
      </c>
      <c r="AH20">
        <v>0.97608393931073345</v>
      </c>
      <c r="AI20">
        <v>0.54313722946713761</v>
      </c>
      <c r="AJ20">
        <v>0.27344067910376568</v>
      </c>
      <c r="AK20">
        <v>0.18584948714674973</v>
      </c>
      <c r="AL20">
        <v>0.13618954769604716</v>
      </c>
      <c r="AM20">
        <v>0.14984956421661272</v>
      </c>
      <c r="AN20">
        <v>0.22549852045337859</v>
      </c>
      <c r="AO20">
        <v>0.35627352619994795</v>
      </c>
      <c r="AP20">
        <v>0.78036129562653211</v>
      </c>
      <c r="AQ20">
        <v>0</v>
      </c>
      <c r="AR20">
        <v>0.9099106361033702</v>
      </c>
      <c r="AS20">
        <v>0.32730396126874239</v>
      </c>
      <c r="AT20">
        <v>0.20420532198475014</v>
      </c>
      <c r="AU20">
        <v>0.15028920274513505</v>
      </c>
      <c r="AV20">
        <v>0.11138037847381585</v>
      </c>
      <c r="AW20">
        <v>0.10982715348231484</v>
      </c>
      <c r="AX20">
        <v>0.1365850641499213</v>
      </c>
      <c r="AY20">
        <v>0.1880215482254996</v>
      </c>
      <c r="AZ20">
        <v>0.39994560399222567</v>
      </c>
      <c r="BA20">
        <v>0</v>
      </c>
      <c r="BB20">
        <v>0</v>
      </c>
      <c r="BC20">
        <v>0.91023365196608241</v>
      </c>
      <c r="BD20">
        <v>0.54680775531000303</v>
      </c>
      <c r="BE20">
        <v>0.39253734435142795</v>
      </c>
      <c r="BF20">
        <v>0.31040350631198632</v>
      </c>
      <c r="BG20">
        <v>0.34918695266717292</v>
      </c>
      <c r="BH20">
        <v>0.46903936892958153</v>
      </c>
      <c r="BI20">
        <v>0.76935908208623083</v>
      </c>
      <c r="BJ20">
        <v>0</v>
      </c>
      <c r="BK20">
        <v>0</v>
      </c>
      <c r="EU20" t="s">
        <v>175</v>
      </c>
      <c r="EV20">
        <v>0</v>
      </c>
      <c r="EW20">
        <v>0</v>
      </c>
      <c r="EX20">
        <v>8.6400117857718377E-3</v>
      </c>
      <c r="EY20">
        <v>9.5267723089383929E-2</v>
      </c>
      <c r="EZ20">
        <v>0.14963954280708691</v>
      </c>
      <c r="FA20">
        <v>0.13619917301058268</v>
      </c>
      <c r="FB20">
        <v>5.5059550540868203E-2</v>
      </c>
      <c r="FC20">
        <v>4.2722770313258366E-3</v>
      </c>
      <c r="FD20">
        <v>0</v>
      </c>
      <c r="FE20">
        <v>0</v>
      </c>
      <c r="FF20">
        <v>9.108806165824461E-4</v>
      </c>
      <c r="FG20">
        <v>0.10413440366149324</v>
      </c>
      <c r="FH20">
        <v>0.34259101043633466</v>
      </c>
      <c r="FI20">
        <v>0.49187056645081151</v>
      </c>
      <c r="FJ20">
        <v>0.4772766698568372</v>
      </c>
      <c r="FK20">
        <v>0.47124269108551153</v>
      </c>
      <c r="FL20">
        <v>0.38146763102663905</v>
      </c>
      <c r="FM20">
        <v>0.19148256503510877</v>
      </c>
      <c r="FN20">
        <v>2.3056561707725198E-2</v>
      </c>
      <c r="FO20">
        <v>0</v>
      </c>
      <c r="FP20">
        <v>5.2771672635143216E-3</v>
      </c>
      <c r="FQ20">
        <v>0.16657105252588739</v>
      </c>
      <c r="FR20">
        <v>0.35915842206127951</v>
      </c>
      <c r="FS20">
        <v>0.46797033374234764</v>
      </c>
      <c r="FT20">
        <v>0.47736667292040796</v>
      </c>
      <c r="FU20">
        <v>0.46801615110823386</v>
      </c>
      <c r="FV20">
        <v>0.40950669234407683</v>
      </c>
      <c r="FW20">
        <v>0.27222182457646932</v>
      </c>
      <c r="FX20">
        <v>8.2483147730466472E-2</v>
      </c>
      <c r="FY20">
        <v>0</v>
      </c>
      <c r="FZ20">
        <v>0</v>
      </c>
      <c r="GA20">
        <v>1.0006180181175913E-2</v>
      </c>
      <c r="GB20">
        <v>0.10227938040850636</v>
      </c>
      <c r="GC20">
        <v>0.19768339864458173</v>
      </c>
      <c r="GD20">
        <v>0.21172650496979972</v>
      </c>
      <c r="GE20">
        <v>0.20662281792856804</v>
      </c>
      <c r="GF20">
        <v>0.13526473735397385</v>
      </c>
      <c r="GG20">
        <v>3.8956483467496757E-2</v>
      </c>
      <c r="GH20">
        <v>0</v>
      </c>
      <c r="GI20">
        <v>0</v>
      </c>
      <c r="GK20" t="s">
        <v>175</v>
      </c>
      <c r="GL20" t="s">
        <v>221</v>
      </c>
      <c r="GM20" t="s">
        <v>222</v>
      </c>
      <c r="GN20">
        <v>0.43445953572656093</v>
      </c>
    </row>
    <row r="21" spans="22:196" x14ac:dyDescent="0.25">
      <c r="V21" t="s">
        <v>176</v>
      </c>
      <c r="W21" t="s">
        <v>31</v>
      </c>
      <c r="X21">
        <v>0</v>
      </c>
      <c r="Y21">
        <v>0</v>
      </c>
      <c r="Z21">
        <v>0.83679970817131843</v>
      </c>
      <c r="AA21">
        <v>0.34998189224764437</v>
      </c>
      <c r="AB21">
        <v>0.22363670455498355</v>
      </c>
      <c r="AC21">
        <v>0.27600724168388718</v>
      </c>
      <c r="AD21">
        <v>0.50562232319742462</v>
      </c>
      <c r="AE21">
        <v>0.93666007643469551</v>
      </c>
      <c r="AF21">
        <v>0</v>
      </c>
      <c r="AG21">
        <v>0</v>
      </c>
      <c r="AH21">
        <v>0.96956521739130463</v>
      </c>
      <c r="AI21">
        <v>0.52466724844574764</v>
      </c>
      <c r="AJ21">
        <v>0.29046800626423036</v>
      </c>
      <c r="AK21">
        <v>0.19417385003249535</v>
      </c>
      <c r="AL21">
        <v>0.14621034425396595</v>
      </c>
      <c r="AM21">
        <v>0.16788594504082319</v>
      </c>
      <c r="AN21">
        <v>0.24944275686483494</v>
      </c>
      <c r="AO21">
        <v>0.36414781465496199</v>
      </c>
      <c r="AP21">
        <v>0.78013870847048628</v>
      </c>
      <c r="AQ21">
        <v>0</v>
      </c>
      <c r="AR21">
        <v>0.90429495696231799</v>
      </c>
      <c r="AS21">
        <v>0.27554041627098202</v>
      </c>
      <c r="AT21">
        <v>0.17965891341901979</v>
      </c>
      <c r="AU21">
        <v>0.14484763804607512</v>
      </c>
      <c r="AV21">
        <v>0.10762777659191881</v>
      </c>
      <c r="AW21">
        <v>0.10576627869603004</v>
      </c>
      <c r="AX21">
        <v>0.12910592690859471</v>
      </c>
      <c r="AY21">
        <v>0.18484473367274992</v>
      </c>
      <c r="AZ21">
        <v>0.41645020158963042</v>
      </c>
      <c r="BA21">
        <v>0</v>
      </c>
      <c r="BB21">
        <v>0</v>
      </c>
      <c r="BC21">
        <v>0.88982905854143135</v>
      </c>
      <c r="BD21">
        <v>0.52142370464883225</v>
      </c>
      <c r="BE21">
        <v>0.35859441247586049</v>
      </c>
      <c r="BF21">
        <v>0.29551132045861744</v>
      </c>
      <c r="BG21">
        <v>0.34223477300171706</v>
      </c>
      <c r="BH21">
        <v>0.45926351660563924</v>
      </c>
      <c r="BI21">
        <v>0.75606187053512797</v>
      </c>
      <c r="BJ21">
        <v>0</v>
      </c>
      <c r="BK21">
        <v>0</v>
      </c>
      <c r="EU21" t="s">
        <v>176</v>
      </c>
      <c r="EV21">
        <v>0</v>
      </c>
      <c r="EW21">
        <v>0</v>
      </c>
      <c r="EX21">
        <v>7.4608917908702719E-3</v>
      </c>
      <c r="EY21">
        <v>9.9980415219403512E-2</v>
      </c>
      <c r="EZ21">
        <v>0.15650096946551745</v>
      </c>
      <c r="FA21">
        <v>0.15092774830502836</v>
      </c>
      <c r="FB21">
        <v>6.3811631525969637E-2</v>
      </c>
      <c r="FC21">
        <v>4.8500927935503863E-3</v>
      </c>
      <c r="FD21">
        <v>0</v>
      </c>
      <c r="FE21">
        <v>0</v>
      </c>
      <c r="FF21">
        <v>6.8301899822975436E-4</v>
      </c>
      <c r="FG21">
        <v>0.10366291273763992</v>
      </c>
      <c r="FH21">
        <v>0.33311858776366743</v>
      </c>
      <c r="FI21">
        <v>0.47951775556466275</v>
      </c>
      <c r="FJ21">
        <v>0.47214040656443645</v>
      </c>
      <c r="FK21">
        <v>0.45917233656535733</v>
      </c>
      <c r="FL21">
        <v>0.36345224025870609</v>
      </c>
      <c r="FM21">
        <v>0.17752573576803704</v>
      </c>
      <c r="FN21">
        <v>1.8573643877073026E-2</v>
      </c>
      <c r="FO21">
        <v>0</v>
      </c>
      <c r="FP21">
        <v>5.3346161209716983E-3</v>
      </c>
      <c r="FQ21">
        <v>0.18380270346180114</v>
      </c>
      <c r="FR21">
        <v>0.38172176237127275</v>
      </c>
      <c r="FS21">
        <v>0.48114583024610375</v>
      </c>
      <c r="FT21">
        <v>0.4813316118209317</v>
      </c>
      <c r="FU21">
        <v>0.47218342454382506</v>
      </c>
      <c r="FV21">
        <v>0.40998644605093071</v>
      </c>
      <c r="FW21">
        <v>0.26330803496149352</v>
      </c>
      <c r="FX21">
        <v>7.1505797476429198E-2</v>
      </c>
      <c r="FY21">
        <v>0</v>
      </c>
      <c r="FZ21">
        <v>0</v>
      </c>
      <c r="GA21">
        <v>1.0417502844161968E-2</v>
      </c>
      <c r="GB21">
        <v>0.11450173771925952</v>
      </c>
      <c r="GC21">
        <v>0.21066625952613174</v>
      </c>
      <c r="GD21">
        <v>0.2233247947023301</v>
      </c>
      <c r="GE21">
        <v>0.2180947930556669</v>
      </c>
      <c r="GF21">
        <v>0.14270097858516406</v>
      </c>
      <c r="GG21">
        <v>3.9730025354388729E-2</v>
      </c>
      <c r="GH21">
        <v>0</v>
      </c>
      <c r="GI21">
        <v>0</v>
      </c>
      <c r="GK21" t="s">
        <v>176</v>
      </c>
      <c r="GL21" t="s">
        <v>221</v>
      </c>
      <c r="GM21" t="s">
        <v>222</v>
      </c>
      <c r="GN21">
        <v>0.43096029917578094</v>
      </c>
    </row>
    <row r="22" spans="22:196" x14ac:dyDescent="0.25">
      <c r="V22" t="s">
        <v>177</v>
      </c>
      <c r="W22" t="s">
        <v>31</v>
      </c>
      <c r="X22">
        <v>0</v>
      </c>
      <c r="Y22">
        <v>0</v>
      </c>
      <c r="Z22">
        <v>0.77286700374345729</v>
      </c>
      <c r="AA22">
        <v>0.32610794813079014</v>
      </c>
      <c r="AB22">
        <v>0.21616899398680964</v>
      </c>
      <c r="AC22">
        <v>0.24278064591200299</v>
      </c>
      <c r="AD22">
        <v>0.4484867848821098</v>
      </c>
      <c r="AE22">
        <v>0.90703919412922362</v>
      </c>
      <c r="AF22">
        <v>0</v>
      </c>
      <c r="AG22">
        <v>0</v>
      </c>
      <c r="AH22">
        <v>0</v>
      </c>
      <c r="AI22">
        <v>0.56904802700665302</v>
      </c>
      <c r="AJ22">
        <v>0.30939944909645417</v>
      </c>
      <c r="AK22">
        <v>0.23104261168039406</v>
      </c>
      <c r="AL22">
        <v>0.1854148848050316</v>
      </c>
      <c r="AM22">
        <v>0.20399879605866572</v>
      </c>
      <c r="AN22">
        <v>0.25092983897879795</v>
      </c>
      <c r="AO22">
        <v>0.3860892357919018</v>
      </c>
      <c r="AP22">
        <v>0.81426988305985737</v>
      </c>
      <c r="AQ22">
        <v>0</v>
      </c>
      <c r="AR22">
        <v>0</v>
      </c>
      <c r="AS22">
        <v>0.31189633716072124</v>
      </c>
      <c r="AT22">
        <v>0.19906223104456733</v>
      </c>
      <c r="AU22">
        <v>0.15334353277574259</v>
      </c>
      <c r="AV22">
        <v>0.12088064584991043</v>
      </c>
      <c r="AW22">
        <v>0.130401463891997</v>
      </c>
      <c r="AX22">
        <v>0.15817362451900494</v>
      </c>
      <c r="AY22">
        <v>0.21494336529617294</v>
      </c>
      <c r="AZ22">
        <v>0.58867740223289566</v>
      </c>
      <c r="BA22">
        <v>0</v>
      </c>
      <c r="BB22">
        <v>0</v>
      </c>
      <c r="BC22">
        <v>0.89785959469502785</v>
      </c>
      <c r="BD22">
        <v>0.4041479062585262</v>
      </c>
      <c r="BE22">
        <v>0.25993092837485376</v>
      </c>
      <c r="BF22">
        <v>0.21742976174080889</v>
      </c>
      <c r="BG22">
        <v>0.23620138726965947</v>
      </c>
      <c r="BH22">
        <v>0.34146771968572026</v>
      </c>
      <c r="BI22">
        <v>0.71454143535217129</v>
      </c>
      <c r="BJ22">
        <v>0</v>
      </c>
      <c r="BK22">
        <v>0</v>
      </c>
      <c r="EU22" t="s">
        <v>177</v>
      </c>
      <c r="EV22">
        <v>0</v>
      </c>
      <c r="EW22">
        <v>0</v>
      </c>
      <c r="EX22">
        <v>2.2317905376712764E-2</v>
      </c>
      <c r="EY22">
        <v>0.16053743851456689</v>
      </c>
      <c r="EZ22">
        <v>0.21208846128345063</v>
      </c>
      <c r="FA22">
        <v>0.21934090646555987</v>
      </c>
      <c r="FB22">
        <v>9.9823761726255025E-2</v>
      </c>
      <c r="FC22">
        <v>6.8540230601360878E-3</v>
      </c>
      <c r="FD22">
        <v>0</v>
      </c>
      <c r="FE22">
        <v>0</v>
      </c>
      <c r="FF22">
        <v>0</v>
      </c>
      <c r="FG22">
        <v>8.5934395919941495E-2</v>
      </c>
      <c r="FH22">
        <v>0.30786800662731012</v>
      </c>
      <c r="FI22">
        <v>0.44129423739641899</v>
      </c>
      <c r="FJ22">
        <v>0.441019623701914</v>
      </c>
      <c r="FK22">
        <v>0.42157116506770231</v>
      </c>
      <c r="FL22">
        <v>0.32738883108459632</v>
      </c>
      <c r="FM22">
        <v>0.16210615886751228</v>
      </c>
      <c r="FN22">
        <v>1.2520659420168407E-2</v>
      </c>
      <c r="FO22">
        <v>0</v>
      </c>
      <c r="FP22">
        <v>0</v>
      </c>
      <c r="FQ22">
        <v>0.15980179356059362</v>
      </c>
      <c r="FR22">
        <v>0.37933286369621855</v>
      </c>
      <c r="FS22">
        <v>0.48607884684941183</v>
      </c>
      <c r="FT22">
        <v>0.4912862967521649</v>
      </c>
      <c r="FU22">
        <v>0.47077557541344289</v>
      </c>
      <c r="FV22">
        <v>0.39630484855429471</v>
      </c>
      <c r="FW22">
        <v>0.24928052626350147</v>
      </c>
      <c r="FX22">
        <v>4.8796877486328848E-2</v>
      </c>
      <c r="FY22">
        <v>0</v>
      </c>
      <c r="FZ22">
        <v>0</v>
      </c>
      <c r="GA22">
        <v>1.2307573593379979E-2</v>
      </c>
      <c r="GB22">
        <v>0.15504175444306301</v>
      </c>
      <c r="GC22">
        <v>0.2889185057845664</v>
      </c>
      <c r="GD22">
        <v>0.28952700753751348</v>
      </c>
      <c r="GE22">
        <v>0.29161803548662879</v>
      </c>
      <c r="GF22">
        <v>0.18431092395893417</v>
      </c>
      <c r="GG22">
        <v>4.535899368284884E-2</v>
      </c>
      <c r="GH22">
        <v>0</v>
      </c>
      <c r="GI22">
        <v>0</v>
      </c>
      <c r="GK22" t="s">
        <v>177</v>
      </c>
      <c r="GL22" t="s">
        <v>221</v>
      </c>
      <c r="GM22" t="s">
        <v>222</v>
      </c>
      <c r="GN22">
        <v>0.44534932547678008</v>
      </c>
    </row>
    <row r="23" spans="22:196" x14ac:dyDescent="0.25">
      <c r="V23" t="s">
        <v>178</v>
      </c>
      <c r="W23" t="s">
        <v>31</v>
      </c>
      <c r="X23">
        <v>0</v>
      </c>
      <c r="Y23">
        <v>0</v>
      </c>
      <c r="Z23">
        <v>0.75428108433490615</v>
      </c>
      <c r="AA23">
        <v>0.32542375277237884</v>
      </c>
      <c r="AB23">
        <v>0.21065223366905414</v>
      </c>
      <c r="AC23">
        <v>0.25490759806284774</v>
      </c>
      <c r="AD23">
        <v>0.46339059698471119</v>
      </c>
      <c r="AE23">
        <v>0.91710977107775404</v>
      </c>
      <c r="AF23">
        <v>0</v>
      </c>
      <c r="AG23">
        <v>0</v>
      </c>
      <c r="AH23">
        <v>0.98980862822480431</v>
      </c>
      <c r="AI23">
        <v>0.52966018877151588</v>
      </c>
      <c r="AJ23">
        <v>0.29503065004002244</v>
      </c>
      <c r="AK23">
        <v>0.222798829922151</v>
      </c>
      <c r="AL23">
        <v>0.17612755677934688</v>
      </c>
      <c r="AM23">
        <v>0.19424124209266921</v>
      </c>
      <c r="AN23">
        <v>0.24461109769327169</v>
      </c>
      <c r="AO23">
        <v>0.36401476964365598</v>
      </c>
      <c r="AP23">
        <v>0.82211691014167165</v>
      </c>
      <c r="AQ23">
        <v>0</v>
      </c>
      <c r="AR23">
        <v>0.92416995168345151</v>
      </c>
      <c r="AS23">
        <v>0.2789733106088314</v>
      </c>
      <c r="AT23">
        <v>0.15919614426981593</v>
      </c>
      <c r="AU23">
        <v>0.12671406120270579</v>
      </c>
      <c r="AV23">
        <v>0.10681700338275565</v>
      </c>
      <c r="AW23">
        <v>0.12023443778979541</v>
      </c>
      <c r="AX23">
        <v>0.14882663453613743</v>
      </c>
      <c r="AY23">
        <v>0.197105967162192</v>
      </c>
      <c r="AZ23">
        <v>0.57484088657254917</v>
      </c>
      <c r="BA23">
        <v>0</v>
      </c>
      <c r="BB23">
        <v>0</v>
      </c>
      <c r="BC23">
        <v>0.87667138549519985</v>
      </c>
      <c r="BD23">
        <v>0.40086482650833077</v>
      </c>
      <c r="BE23">
        <v>0.26564987107310595</v>
      </c>
      <c r="BF23">
        <v>0.20488342210247018</v>
      </c>
      <c r="BG23">
        <v>0.23971239124909105</v>
      </c>
      <c r="BH23">
        <v>0.35554550302904531</v>
      </c>
      <c r="BI23">
        <v>0.72891977242149775</v>
      </c>
      <c r="BJ23">
        <v>0</v>
      </c>
      <c r="BK23">
        <v>0</v>
      </c>
      <c r="EU23" t="s">
        <v>178</v>
      </c>
      <c r="EV23">
        <v>0</v>
      </c>
      <c r="EW23">
        <v>0</v>
      </c>
      <c r="EX23">
        <v>1.9741803714383235E-2</v>
      </c>
      <c r="EY23">
        <v>0.14563902370692788</v>
      </c>
      <c r="EZ23">
        <v>0.19101233678567561</v>
      </c>
      <c r="FA23">
        <v>0.19226593752341634</v>
      </c>
      <c r="FB23">
        <v>7.6966481939658257E-2</v>
      </c>
      <c r="FC23">
        <v>4.0760413669756138E-3</v>
      </c>
      <c r="FD23">
        <v>0</v>
      </c>
      <c r="FE23">
        <v>0</v>
      </c>
      <c r="FF23">
        <v>2.2652536115384392E-5</v>
      </c>
      <c r="FG23">
        <v>0.10075698976855263</v>
      </c>
      <c r="FH23">
        <v>0.32636937913059966</v>
      </c>
      <c r="FI23">
        <v>0.45003026390867001</v>
      </c>
      <c r="FJ23">
        <v>0.4530281485276883</v>
      </c>
      <c r="FK23">
        <v>0.43243083996088927</v>
      </c>
      <c r="FL23">
        <v>0.33970736416552366</v>
      </c>
      <c r="FM23">
        <v>0.16752103613462016</v>
      </c>
      <c r="FN23">
        <v>1.3200200393291839E-2</v>
      </c>
      <c r="FO23">
        <v>0</v>
      </c>
      <c r="FP23">
        <v>1.5679408575519122E-3</v>
      </c>
      <c r="FQ23">
        <v>0.17555204162325486</v>
      </c>
      <c r="FR23">
        <v>0.39886174223003307</v>
      </c>
      <c r="FS23">
        <v>0.50049291888110847</v>
      </c>
      <c r="FT23">
        <v>0.49611177489218411</v>
      </c>
      <c r="FU23">
        <v>0.47334624606537362</v>
      </c>
      <c r="FV23">
        <v>0.39643811415695734</v>
      </c>
      <c r="FW23">
        <v>0.24668384831597337</v>
      </c>
      <c r="FX23">
        <v>4.796056560644664E-2</v>
      </c>
      <c r="FY23">
        <v>0</v>
      </c>
      <c r="FZ23">
        <v>0</v>
      </c>
      <c r="GA23">
        <v>1.5242407708122496E-2</v>
      </c>
      <c r="GB23">
        <v>0.14747532731767313</v>
      </c>
      <c r="GC23">
        <v>0.27797965130412616</v>
      </c>
      <c r="GD23">
        <v>0.2788233121524713</v>
      </c>
      <c r="GE23">
        <v>0.26332297059634252</v>
      </c>
      <c r="GF23">
        <v>0.15654139193762109</v>
      </c>
      <c r="GG23">
        <v>3.7905088282602084E-2</v>
      </c>
      <c r="GH23">
        <v>0</v>
      </c>
      <c r="GI23">
        <v>0</v>
      </c>
      <c r="GK23" t="s">
        <v>178</v>
      </c>
      <c r="GL23" t="s">
        <v>221</v>
      </c>
      <c r="GM23" t="s">
        <v>222</v>
      </c>
      <c r="GN23">
        <v>0.42024429479619446</v>
      </c>
    </row>
    <row r="24" spans="22:196" x14ac:dyDescent="0.25">
      <c r="V24" t="s">
        <v>179</v>
      </c>
      <c r="W24" t="s">
        <v>31</v>
      </c>
      <c r="X24">
        <v>0</v>
      </c>
      <c r="Y24">
        <v>0</v>
      </c>
      <c r="Z24">
        <v>0.82324719103248534</v>
      </c>
      <c r="AA24">
        <v>0.29731518790218409</v>
      </c>
      <c r="AB24">
        <v>0.18605420318604504</v>
      </c>
      <c r="AC24">
        <v>0.21411993973881152</v>
      </c>
      <c r="AD24">
        <v>0.39207883000624488</v>
      </c>
      <c r="AE24">
        <v>0.87693496091072964</v>
      </c>
      <c r="AF24">
        <v>0</v>
      </c>
      <c r="AG24">
        <v>0</v>
      </c>
      <c r="AH24">
        <v>0</v>
      </c>
      <c r="AI24">
        <v>0.6326571781889041</v>
      </c>
      <c r="AJ24">
        <v>0.33115011338233175</v>
      </c>
      <c r="AK24">
        <v>0.2350803622944434</v>
      </c>
      <c r="AL24">
        <v>0.16498128500745987</v>
      </c>
      <c r="AM24">
        <v>0.17054116748080311</v>
      </c>
      <c r="AN24">
        <v>0.24521704551789653</v>
      </c>
      <c r="AO24">
        <v>0.34500444395937285</v>
      </c>
      <c r="AP24">
        <v>0.8006077289432636</v>
      </c>
      <c r="AQ24">
        <v>0</v>
      </c>
      <c r="AR24">
        <v>0</v>
      </c>
      <c r="AS24">
        <v>0.36189492868244344</v>
      </c>
      <c r="AT24">
        <v>0.2187797616820929</v>
      </c>
      <c r="AU24">
        <v>0.16415257092211044</v>
      </c>
      <c r="AV24">
        <v>0.12947063655105029</v>
      </c>
      <c r="AW24">
        <v>0.12903069922623181</v>
      </c>
      <c r="AX24">
        <v>0.14915020921425498</v>
      </c>
      <c r="AY24">
        <v>0.20319558724035924</v>
      </c>
      <c r="AZ24">
        <v>0.46958134183257916</v>
      </c>
      <c r="BA24">
        <v>0</v>
      </c>
      <c r="BB24">
        <v>0</v>
      </c>
      <c r="BC24">
        <v>0.91133908009809561</v>
      </c>
      <c r="BD24">
        <v>0.41970278013443335</v>
      </c>
      <c r="BE24">
        <v>0.27758973124528757</v>
      </c>
      <c r="BF24">
        <v>0.2209297186511075</v>
      </c>
      <c r="BG24">
        <v>0.23514760713988353</v>
      </c>
      <c r="BH24">
        <v>0.31474193187975047</v>
      </c>
      <c r="BI24">
        <v>0.67573875750608237</v>
      </c>
      <c r="BJ24">
        <v>0</v>
      </c>
      <c r="BK24">
        <v>0</v>
      </c>
      <c r="EU24" t="s">
        <v>179</v>
      </c>
      <c r="EV24">
        <v>0</v>
      </c>
      <c r="EW24">
        <v>0</v>
      </c>
      <c r="EX24">
        <v>1.0712516328233706E-2</v>
      </c>
      <c r="EY24">
        <v>0.14887758771358356</v>
      </c>
      <c r="EZ24">
        <v>0.21898392368337097</v>
      </c>
      <c r="FA24">
        <v>0.22856969108939931</v>
      </c>
      <c r="FB24">
        <v>0.11595175453426838</v>
      </c>
      <c r="FC24">
        <v>9.466827891007704E-3</v>
      </c>
      <c r="FD24">
        <v>0</v>
      </c>
      <c r="FE24">
        <v>0</v>
      </c>
      <c r="FF24">
        <v>0</v>
      </c>
      <c r="FG24">
        <v>6.5916489972374967E-2</v>
      </c>
      <c r="FH24">
        <v>0.26901256618582531</v>
      </c>
      <c r="FI24">
        <v>0.41262600326471732</v>
      </c>
      <c r="FJ24">
        <v>0.44028420537602253</v>
      </c>
      <c r="FK24">
        <v>0.42095353981123507</v>
      </c>
      <c r="FL24">
        <v>0.32747301272155233</v>
      </c>
      <c r="FM24">
        <v>0.17892312731820847</v>
      </c>
      <c r="FN24">
        <v>1.8746509958886583E-2</v>
      </c>
      <c r="FO24">
        <v>0</v>
      </c>
      <c r="FP24">
        <v>0</v>
      </c>
      <c r="FQ24">
        <v>0.1352937384946174</v>
      </c>
      <c r="FR24">
        <v>0.36244806160329857</v>
      </c>
      <c r="FS24">
        <v>0.48579925462398998</v>
      </c>
      <c r="FT24">
        <v>0.48913026115705088</v>
      </c>
      <c r="FU24">
        <v>0.46335862753081936</v>
      </c>
      <c r="FV24">
        <v>0.39615994282930106</v>
      </c>
      <c r="FW24">
        <v>0.25388991945155753</v>
      </c>
      <c r="FX24">
        <v>6.5400619826076728E-2</v>
      </c>
      <c r="FY24">
        <v>0</v>
      </c>
      <c r="FZ24">
        <v>0</v>
      </c>
      <c r="GA24">
        <v>8.2394638489811101E-3</v>
      </c>
      <c r="GB24">
        <v>0.135303113896898</v>
      </c>
      <c r="GC24">
        <v>0.27022055117470622</v>
      </c>
      <c r="GD24">
        <v>0.29132254250738421</v>
      </c>
      <c r="GE24">
        <v>0.30229972691123591</v>
      </c>
      <c r="GF24">
        <v>0.20615709192447959</v>
      </c>
      <c r="GG24">
        <v>5.3593808385929878E-2</v>
      </c>
      <c r="GH24">
        <v>0</v>
      </c>
      <c r="GI24">
        <v>0</v>
      </c>
      <c r="GK24" t="s">
        <v>179</v>
      </c>
      <c r="GL24" t="s">
        <v>221</v>
      </c>
      <c r="GM24" t="s">
        <v>222</v>
      </c>
      <c r="GN24">
        <v>0.42925221628434218</v>
      </c>
    </row>
    <row r="25" spans="22:196" x14ac:dyDescent="0.25">
      <c r="V25" t="s">
        <v>180</v>
      </c>
      <c r="W25" t="s">
        <v>31</v>
      </c>
      <c r="X25">
        <v>0</v>
      </c>
      <c r="Y25">
        <v>0</v>
      </c>
      <c r="Z25">
        <v>0.85684952053446983</v>
      </c>
      <c r="AA25">
        <v>0.30991821052648505</v>
      </c>
      <c r="AB25">
        <v>0.19810048954432805</v>
      </c>
      <c r="AC25">
        <v>0.20940266985356945</v>
      </c>
      <c r="AD25">
        <v>0.34490666878044052</v>
      </c>
      <c r="AE25">
        <v>0.86511782878958121</v>
      </c>
      <c r="AF25">
        <v>0</v>
      </c>
      <c r="AG25">
        <v>0</v>
      </c>
      <c r="AH25">
        <v>0</v>
      </c>
      <c r="AI25">
        <v>0.63800337926337281</v>
      </c>
      <c r="AJ25">
        <v>0.34716577822686179</v>
      </c>
      <c r="AK25">
        <v>0.25777090478493658</v>
      </c>
      <c r="AL25">
        <v>0.18918201204082447</v>
      </c>
      <c r="AM25">
        <v>0.18590973597429966</v>
      </c>
      <c r="AN25">
        <v>0.24013533345330551</v>
      </c>
      <c r="AO25">
        <v>0.33559076576714186</v>
      </c>
      <c r="AP25">
        <v>0.75124823240359939</v>
      </c>
      <c r="AQ25">
        <v>0</v>
      </c>
      <c r="AR25">
        <v>0</v>
      </c>
      <c r="AS25">
        <v>0.35648692617597588</v>
      </c>
      <c r="AT25">
        <v>0.20427050398675312</v>
      </c>
      <c r="AU25">
        <v>0.14842771803304711</v>
      </c>
      <c r="AV25">
        <v>0.12479105886368104</v>
      </c>
      <c r="AW25">
        <v>0.12228377106974644</v>
      </c>
      <c r="AX25">
        <v>0.13596193337602788</v>
      </c>
      <c r="AY25">
        <v>0.19754555317791533</v>
      </c>
      <c r="AZ25">
        <v>0.41621484111577417</v>
      </c>
      <c r="BA25">
        <v>0</v>
      </c>
      <c r="BB25">
        <v>0</v>
      </c>
      <c r="BC25">
        <v>0.93286069641858138</v>
      </c>
      <c r="BD25">
        <v>0.44859958568473929</v>
      </c>
      <c r="BE25">
        <v>0.29055896134196646</v>
      </c>
      <c r="BF25">
        <v>0.21768209071789321</v>
      </c>
      <c r="BG25">
        <v>0.22781702551997066</v>
      </c>
      <c r="BH25">
        <v>0.31682141819112197</v>
      </c>
      <c r="BI25">
        <v>0.65399969741044717</v>
      </c>
      <c r="BJ25">
        <v>0</v>
      </c>
      <c r="BK25">
        <v>0</v>
      </c>
      <c r="EU25" t="s">
        <v>180</v>
      </c>
      <c r="EV25">
        <v>0</v>
      </c>
      <c r="EW25">
        <v>0</v>
      </c>
      <c r="EX25">
        <v>5.9536655932712059E-3</v>
      </c>
      <c r="EY25">
        <v>0.12465711066177618</v>
      </c>
      <c r="EZ25">
        <v>0.19469184603841344</v>
      </c>
      <c r="FA25">
        <v>0.20202878328772705</v>
      </c>
      <c r="FB25">
        <v>0.10241884056795207</v>
      </c>
      <c r="FC25">
        <v>7.5468109230070095E-3</v>
      </c>
      <c r="FD25">
        <v>0</v>
      </c>
      <c r="FE25">
        <v>0</v>
      </c>
      <c r="FF25">
        <v>0</v>
      </c>
      <c r="FG25">
        <v>6.4255995464365001E-2</v>
      </c>
      <c r="FH25">
        <v>0.26142105958668788</v>
      </c>
      <c r="FI25">
        <v>0.39684879630438863</v>
      </c>
      <c r="FJ25">
        <v>0.4285362556875264</v>
      </c>
      <c r="FK25">
        <v>0.40997661000401248</v>
      </c>
      <c r="FL25">
        <v>0.33516477416319784</v>
      </c>
      <c r="FM25">
        <v>0.18185720153991533</v>
      </c>
      <c r="FN25">
        <v>2.1636269563496811E-2</v>
      </c>
      <c r="FO25">
        <v>0</v>
      </c>
      <c r="FP25">
        <v>0</v>
      </c>
      <c r="FQ25">
        <v>0.12896144408727067</v>
      </c>
      <c r="FR25">
        <v>0.36069777376120593</v>
      </c>
      <c r="FS25">
        <v>0.49617832032124576</v>
      </c>
      <c r="FT25">
        <v>0.49245998628635457</v>
      </c>
      <c r="FU25">
        <v>0.47105776811650246</v>
      </c>
      <c r="FV25">
        <v>0.41344862525047826</v>
      </c>
      <c r="FW25">
        <v>0.27290052251020275</v>
      </c>
      <c r="FX25">
        <v>7.8982272270081894E-2</v>
      </c>
      <c r="FY25">
        <v>0</v>
      </c>
      <c r="FZ25">
        <v>0</v>
      </c>
      <c r="GA25">
        <v>6.9480192978740975E-3</v>
      </c>
      <c r="GB25">
        <v>0.12616984243024931</v>
      </c>
      <c r="GC25">
        <v>0.26086987292049313</v>
      </c>
      <c r="GD25">
        <v>0.28301293825846419</v>
      </c>
      <c r="GE25">
        <v>0.29556435646830836</v>
      </c>
      <c r="GF25">
        <v>0.20757653606217596</v>
      </c>
      <c r="GG25">
        <v>5.5406114479981651E-2</v>
      </c>
      <c r="GH25">
        <v>0</v>
      </c>
      <c r="GI25">
        <v>0</v>
      </c>
      <c r="GK25" t="s">
        <v>180</v>
      </c>
      <c r="GL25" t="s">
        <v>221</v>
      </c>
      <c r="GM25" t="s">
        <v>222</v>
      </c>
      <c r="GN25">
        <v>0.45287679488465854</v>
      </c>
    </row>
    <row r="26" spans="22:196" x14ac:dyDescent="0.25">
      <c r="V26" t="s">
        <v>181</v>
      </c>
      <c r="W26" t="s">
        <v>31</v>
      </c>
      <c r="X26">
        <v>0</v>
      </c>
      <c r="Y26">
        <v>0</v>
      </c>
      <c r="Z26">
        <v>0.874253525679628</v>
      </c>
      <c r="AA26">
        <v>0.34034067431334375</v>
      </c>
      <c r="AB26">
        <v>0.22400463476149637</v>
      </c>
      <c r="AC26">
        <v>0.22687628369795937</v>
      </c>
      <c r="AD26">
        <v>0.42079198808698753</v>
      </c>
      <c r="AE26">
        <v>0.87528640257629742</v>
      </c>
      <c r="AF26">
        <v>0</v>
      </c>
      <c r="AG26">
        <v>0</v>
      </c>
      <c r="AH26">
        <v>0</v>
      </c>
      <c r="AI26">
        <v>0.63797230436549135</v>
      </c>
      <c r="AJ26">
        <v>0.33188634837904391</v>
      </c>
      <c r="AK26">
        <v>0.2377903259660602</v>
      </c>
      <c r="AL26">
        <v>0.17833889733422073</v>
      </c>
      <c r="AM26">
        <v>0.1808956858471345</v>
      </c>
      <c r="AN26">
        <v>0.23583939074960011</v>
      </c>
      <c r="AO26">
        <v>0.3248226851409225</v>
      </c>
      <c r="AP26">
        <v>0.73468675137181283</v>
      </c>
      <c r="AQ26">
        <v>0</v>
      </c>
      <c r="AR26">
        <v>0</v>
      </c>
      <c r="AS26">
        <v>0.33882333300425871</v>
      </c>
      <c r="AT26">
        <v>0.18993269688586545</v>
      </c>
      <c r="AU26">
        <v>0.15120690880671211</v>
      </c>
      <c r="AV26">
        <v>0.11299199230418561</v>
      </c>
      <c r="AW26">
        <v>0.10843788583482877</v>
      </c>
      <c r="AX26">
        <v>0.13390957217831251</v>
      </c>
      <c r="AY26">
        <v>0.1851037431634755</v>
      </c>
      <c r="AZ26">
        <v>0.37672812028729297</v>
      </c>
      <c r="BA26">
        <v>0</v>
      </c>
      <c r="BB26">
        <v>0</v>
      </c>
      <c r="BC26">
        <v>0.93377445155334926</v>
      </c>
      <c r="BD26">
        <v>0.5052096568911415</v>
      </c>
      <c r="BE26">
        <v>0.30069457714810605</v>
      </c>
      <c r="BF26">
        <v>0.23185981002784101</v>
      </c>
      <c r="BG26">
        <v>0.24724957220891697</v>
      </c>
      <c r="BH26">
        <v>0.34754972024743563</v>
      </c>
      <c r="BI26">
        <v>0.67293756394940352</v>
      </c>
      <c r="BJ26">
        <v>0</v>
      </c>
      <c r="BK26">
        <v>0</v>
      </c>
      <c r="EU26" t="s">
        <v>181</v>
      </c>
      <c r="EV26">
        <v>0</v>
      </c>
      <c r="EW26">
        <v>0</v>
      </c>
      <c r="EX26">
        <v>5.781177684463428E-3</v>
      </c>
      <c r="EY26">
        <v>0.10083234305404688</v>
      </c>
      <c r="EZ26">
        <v>0.16077187434170206</v>
      </c>
      <c r="FA26">
        <v>0.16406665099388704</v>
      </c>
      <c r="FB26">
        <v>7.0531861657401468E-2</v>
      </c>
      <c r="FC26">
        <v>4.4527316761514522E-3</v>
      </c>
      <c r="FD26">
        <v>0</v>
      </c>
      <c r="FE26">
        <v>0</v>
      </c>
      <c r="FF26">
        <v>0</v>
      </c>
      <c r="FG26">
        <v>6.3958878821347473E-2</v>
      </c>
      <c r="FH26">
        <v>0.27052966362666891</v>
      </c>
      <c r="FI26">
        <v>0.42527236542852975</v>
      </c>
      <c r="FJ26">
        <v>0.44836340621407411</v>
      </c>
      <c r="FK26">
        <v>0.42700966946348728</v>
      </c>
      <c r="FL26">
        <v>0.3403186048087869</v>
      </c>
      <c r="FM26">
        <v>0.18466022026733384</v>
      </c>
      <c r="FN26">
        <v>2.7105167915862632E-2</v>
      </c>
      <c r="FO26">
        <v>0</v>
      </c>
      <c r="FP26">
        <v>0</v>
      </c>
      <c r="FQ26">
        <v>0.14207735708193395</v>
      </c>
      <c r="FR26">
        <v>0.37013824312461419</v>
      </c>
      <c r="FS26">
        <v>0.49500716238815273</v>
      </c>
      <c r="FT26">
        <v>0.49588313950767787</v>
      </c>
      <c r="FU26">
        <v>0.47191067613611937</v>
      </c>
      <c r="FV26">
        <v>0.41602183379080104</v>
      </c>
      <c r="FW26">
        <v>0.28116972995917677</v>
      </c>
      <c r="FX26">
        <v>9.024198755137601E-2</v>
      </c>
      <c r="FY26">
        <v>0</v>
      </c>
      <c r="FZ26">
        <v>0</v>
      </c>
      <c r="GA26">
        <v>8.0931812217161763E-3</v>
      </c>
      <c r="GB26">
        <v>0.11813643765341403</v>
      </c>
      <c r="GC26">
        <v>0.25192666796652607</v>
      </c>
      <c r="GD26">
        <v>0.27224230147524719</v>
      </c>
      <c r="GE26">
        <v>0.26259524034538551</v>
      </c>
      <c r="GF26">
        <v>0.18478510392334574</v>
      </c>
      <c r="GG26">
        <v>5.0147779007754335E-2</v>
      </c>
      <c r="GH26">
        <v>0</v>
      </c>
      <c r="GI26">
        <v>0</v>
      </c>
      <c r="GK26" t="s">
        <v>181</v>
      </c>
      <c r="GL26" t="s">
        <v>221</v>
      </c>
      <c r="GM26" t="s">
        <v>222</v>
      </c>
      <c r="GN26">
        <v>0.46673129732597335</v>
      </c>
    </row>
    <row r="27" spans="22:196" x14ac:dyDescent="0.25">
      <c r="V27" t="s">
        <v>182</v>
      </c>
      <c r="W27" t="s">
        <v>31</v>
      </c>
      <c r="X27">
        <v>0</v>
      </c>
      <c r="Y27">
        <v>0</v>
      </c>
      <c r="Z27">
        <v>0.87896269548850203</v>
      </c>
      <c r="AA27">
        <v>0.37660338703769586</v>
      </c>
      <c r="AB27">
        <v>0.25459521721417744</v>
      </c>
      <c r="AC27">
        <v>0.26610620713055422</v>
      </c>
      <c r="AD27">
        <v>0.46265773038334684</v>
      </c>
      <c r="AE27">
        <v>0.87785880879891554</v>
      </c>
      <c r="AF27">
        <v>0</v>
      </c>
      <c r="AG27">
        <v>0</v>
      </c>
      <c r="AH27">
        <v>0</v>
      </c>
      <c r="AI27">
        <v>0.62758722252580701</v>
      </c>
      <c r="AJ27">
        <v>0.32454674780962772</v>
      </c>
      <c r="AK27">
        <v>0.21581809319071185</v>
      </c>
      <c r="AL27">
        <v>0.1527569900861904</v>
      </c>
      <c r="AM27">
        <v>0.16108453491656174</v>
      </c>
      <c r="AN27">
        <v>0.22654095114731618</v>
      </c>
      <c r="AO27">
        <v>0.32914054287021688</v>
      </c>
      <c r="AP27">
        <v>0.73558122642644941</v>
      </c>
      <c r="AQ27">
        <v>0</v>
      </c>
      <c r="AR27">
        <v>0.96270823932788741</v>
      </c>
      <c r="AS27">
        <v>0.3291248789315685</v>
      </c>
      <c r="AT27">
        <v>0.19122317345493864</v>
      </c>
      <c r="AU27">
        <v>0.14671512173953</v>
      </c>
      <c r="AV27">
        <v>0.11172381792360944</v>
      </c>
      <c r="AW27">
        <v>0.11642155211138142</v>
      </c>
      <c r="AX27">
        <v>0.13955150259960172</v>
      </c>
      <c r="AY27">
        <v>0.1776655416914121</v>
      </c>
      <c r="AZ27">
        <v>0.36769414467874173</v>
      </c>
      <c r="BA27">
        <v>0</v>
      </c>
      <c r="BB27">
        <v>0</v>
      </c>
      <c r="BC27">
        <v>0.92621318650403661</v>
      </c>
      <c r="BD27">
        <v>0.52340574009790997</v>
      </c>
      <c r="BE27">
        <v>0.33908606563433979</v>
      </c>
      <c r="BF27">
        <v>0.24381805422669908</v>
      </c>
      <c r="BG27">
        <v>0.26680790654362524</v>
      </c>
      <c r="BH27">
        <v>0.3835332854454091</v>
      </c>
      <c r="BI27">
        <v>0.69715991439061353</v>
      </c>
      <c r="BJ27">
        <v>0</v>
      </c>
      <c r="BK27">
        <v>0</v>
      </c>
      <c r="EU27" t="s">
        <v>182</v>
      </c>
      <c r="EV27">
        <v>0</v>
      </c>
      <c r="EW27">
        <v>0</v>
      </c>
      <c r="EX27">
        <v>4.6824486585626468E-3</v>
      </c>
      <c r="EY27">
        <v>9.5132657810325857E-2</v>
      </c>
      <c r="EZ27">
        <v>0.15388905801820765</v>
      </c>
      <c r="FA27">
        <v>0.14936335167496087</v>
      </c>
      <c r="FB27">
        <v>6.5370937297251588E-2</v>
      </c>
      <c r="FC27">
        <v>4.5665244289374652E-3</v>
      </c>
      <c r="FD27">
        <v>0</v>
      </c>
      <c r="FE27">
        <v>0</v>
      </c>
      <c r="FF27">
        <v>0</v>
      </c>
      <c r="FG27">
        <v>6.6989579434018703E-2</v>
      </c>
      <c r="FH27">
        <v>0.27681613507524888</v>
      </c>
      <c r="FI27">
        <v>0.44836814452723162</v>
      </c>
      <c r="FJ27">
        <v>0.4721618731005286</v>
      </c>
      <c r="FK27">
        <v>0.45203904848068971</v>
      </c>
      <c r="FL27">
        <v>0.35745368911866182</v>
      </c>
      <c r="FM27">
        <v>0.18982296637905466</v>
      </c>
      <c r="FN27">
        <v>2.8306224808842852E-2</v>
      </c>
      <c r="FO27">
        <v>0</v>
      </c>
      <c r="FP27">
        <v>1.8433430581564051E-5</v>
      </c>
      <c r="FQ27">
        <v>0.15125861935730511</v>
      </c>
      <c r="FR27">
        <v>0.3728042478350978</v>
      </c>
      <c r="FS27">
        <v>0.48678082242964643</v>
      </c>
      <c r="FT27">
        <v>0.48933944545325447</v>
      </c>
      <c r="FU27">
        <v>0.46541613958723432</v>
      </c>
      <c r="FV27">
        <v>0.41278390321645775</v>
      </c>
      <c r="FW27">
        <v>0.28070239118642665</v>
      </c>
      <c r="FX27">
        <v>9.3241059804684043E-2</v>
      </c>
      <c r="FY27">
        <v>0</v>
      </c>
      <c r="FZ27">
        <v>0</v>
      </c>
      <c r="GA27">
        <v>8.2343537214683571E-3</v>
      </c>
      <c r="GB27">
        <v>0.11710175384871319</v>
      </c>
      <c r="GC27">
        <v>0.24398221723664407</v>
      </c>
      <c r="GD27">
        <v>0.25655292895927678</v>
      </c>
      <c r="GE27">
        <v>0.24537649495034453</v>
      </c>
      <c r="GF27">
        <v>0.16811581678823509</v>
      </c>
      <c r="GG27">
        <v>5.0909197524253741E-2</v>
      </c>
      <c r="GH27">
        <v>0</v>
      </c>
      <c r="GI27">
        <v>0</v>
      </c>
      <c r="GK27" t="s">
        <v>182</v>
      </c>
      <c r="GL27" t="s">
        <v>221</v>
      </c>
      <c r="GM27" t="s">
        <v>222</v>
      </c>
      <c r="GN27">
        <v>0.47082681394914838</v>
      </c>
    </row>
    <row r="28" spans="22:196" x14ac:dyDescent="0.25">
      <c r="V28" t="s">
        <v>183</v>
      </c>
      <c r="W28" t="s">
        <v>31</v>
      </c>
      <c r="X28">
        <v>0</v>
      </c>
      <c r="Y28">
        <v>0</v>
      </c>
      <c r="Z28">
        <v>0.86441833715183547</v>
      </c>
      <c r="AA28">
        <v>0.35213487933563908</v>
      </c>
      <c r="AB28">
        <v>0.23801399896392655</v>
      </c>
      <c r="AC28">
        <v>0.25906772174954185</v>
      </c>
      <c r="AD28">
        <v>0.46568311539378554</v>
      </c>
      <c r="AE28">
        <v>0.90813312588877448</v>
      </c>
      <c r="AF28">
        <v>0</v>
      </c>
      <c r="AG28">
        <v>0</v>
      </c>
      <c r="AH28">
        <v>0.99565217391304339</v>
      </c>
      <c r="AI28">
        <v>0.59646122966762183</v>
      </c>
      <c r="AJ28">
        <v>0.32644436144139066</v>
      </c>
      <c r="AK28">
        <v>0.22908779397202908</v>
      </c>
      <c r="AL28">
        <v>0.17467441134078079</v>
      </c>
      <c r="AM28">
        <v>0.18944989410953325</v>
      </c>
      <c r="AN28">
        <v>0.25632711000650221</v>
      </c>
      <c r="AO28">
        <v>0.36283678117727935</v>
      </c>
      <c r="AP28">
        <v>0.77662267869639334</v>
      </c>
      <c r="AQ28">
        <v>0</v>
      </c>
      <c r="AR28">
        <v>0.933802958476601</v>
      </c>
      <c r="AS28">
        <v>0.29710462871514715</v>
      </c>
      <c r="AT28">
        <v>0.16930493016819198</v>
      </c>
      <c r="AU28">
        <v>0.1298893649277828</v>
      </c>
      <c r="AV28">
        <v>9.6895068919202756E-2</v>
      </c>
      <c r="AW28">
        <v>0.10830603282597184</v>
      </c>
      <c r="AX28">
        <v>0.14171676023369945</v>
      </c>
      <c r="AY28">
        <v>0.19205384794205893</v>
      </c>
      <c r="AZ28">
        <v>0.41467123791983002</v>
      </c>
      <c r="BA28">
        <v>0</v>
      </c>
      <c r="BB28">
        <v>0</v>
      </c>
      <c r="BC28">
        <v>0.90370337325419969</v>
      </c>
      <c r="BD28">
        <v>0.48250494480789363</v>
      </c>
      <c r="BE28">
        <v>0.30941177300570888</v>
      </c>
      <c r="BF28">
        <v>0.23774270137918452</v>
      </c>
      <c r="BG28">
        <v>0.27861301895236817</v>
      </c>
      <c r="BH28">
        <v>0.38367087105406794</v>
      </c>
      <c r="BI28">
        <v>0.71504137816854019</v>
      </c>
      <c r="BJ28">
        <v>0</v>
      </c>
      <c r="BK28">
        <v>0</v>
      </c>
      <c r="EU28" t="s">
        <v>183</v>
      </c>
      <c r="EV28">
        <v>0</v>
      </c>
      <c r="EW28">
        <v>0</v>
      </c>
      <c r="EX28">
        <v>6.7764607692440996E-3</v>
      </c>
      <c r="EY28">
        <v>0.10626467816388427</v>
      </c>
      <c r="EZ28">
        <v>0.16374851324108824</v>
      </c>
      <c r="FA28">
        <v>0.15777181432306939</v>
      </c>
      <c r="FB28">
        <v>6.2160829805299862E-2</v>
      </c>
      <c r="FC28">
        <v>3.7297344269432054E-3</v>
      </c>
      <c r="FD28">
        <v>0</v>
      </c>
      <c r="FE28">
        <v>0</v>
      </c>
      <c r="FF28">
        <v>2.4950249576642035E-6</v>
      </c>
      <c r="FG28">
        <v>8.2438392471158028E-2</v>
      </c>
      <c r="FH28">
        <v>0.29946918682215495</v>
      </c>
      <c r="FI28">
        <v>0.44144475686714435</v>
      </c>
      <c r="FJ28">
        <v>0.44546687616875941</v>
      </c>
      <c r="FK28">
        <v>0.42372744999577672</v>
      </c>
      <c r="FL28">
        <v>0.33171652257366563</v>
      </c>
      <c r="FM28">
        <v>0.17328208185175378</v>
      </c>
      <c r="FN28">
        <v>2.0265987973404821E-2</v>
      </c>
      <c r="FO28">
        <v>0</v>
      </c>
      <c r="FP28">
        <v>1.4840001291820627E-3</v>
      </c>
      <c r="FQ28">
        <v>0.17422265728289807</v>
      </c>
      <c r="FR28">
        <v>0.39661806082440643</v>
      </c>
      <c r="FS28">
        <v>0.49950479670909503</v>
      </c>
      <c r="FT28">
        <v>0.50153027836867625</v>
      </c>
      <c r="FU28">
        <v>0.48412682438508126</v>
      </c>
      <c r="FV28">
        <v>0.41937028910375734</v>
      </c>
      <c r="FW28">
        <v>0.27446333848203447</v>
      </c>
      <c r="FX28">
        <v>7.4481073386470767E-2</v>
      </c>
      <c r="FY28">
        <v>0</v>
      </c>
      <c r="FZ28">
        <v>0</v>
      </c>
      <c r="GA28">
        <v>9.5865795136084887E-3</v>
      </c>
      <c r="GB28">
        <v>0.11915320402147903</v>
      </c>
      <c r="GC28">
        <v>0.22866855463488414</v>
      </c>
      <c r="GD28">
        <v>0.25336517631910538</v>
      </c>
      <c r="GE28">
        <v>0.24772525697280678</v>
      </c>
      <c r="GF28">
        <v>0.16278753547120617</v>
      </c>
      <c r="GG28">
        <v>4.2546909595308879E-2</v>
      </c>
      <c r="GH28">
        <v>0</v>
      </c>
      <c r="GI28">
        <v>0</v>
      </c>
      <c r="GK28" t="s">
        <v>183</v>
      </c>
      <c r="GL28" t="s">
        <v>221</v>
      </c>
      <c r="GM28" t="s">
        <v>222</v>
      </c>
      <c r="GN28">
        <v>0.44450668785909264</v>
      </c>
    </row>
    <row r="29" spans="22:196" x14ac:dyDescent="0.25">
      <c r="V29" t="s">
        <v>184</v>
      </c>
      <c r="W29" t="s">
        <v>31</v>
      </c>
      <c r="X29">
        <v>0</v>
      </c>
      <c r="Y29">
        <v>0</v>
      </c>
      <c r="Z29">
        <v>0.84948349628415021</v>
      </c>
      <c r="AA29">
        <v>0.31091937373258749</v>
      </c>
      <c r="AB29">
        <v>0.22255449440491595</v>
      </c>
      <c r="AC29">
        <v>0.24319181760818914</v>
      </c>
      <c r="AD29">
        <v>0.42778998604486329</v>
      </c>
      <c r="AE29">
        <v>0.88435477375169347</v>
      </c>
      <c r="AF29">
        <v>0</v>
      </c>
      <c r="AG29">
        <v>0</v>
      </c>
      <c r="AH29">
        <v>0</v>
      </c>
      <c r="AI29">
        <v>0.6251465588049735</v>
      </c>
      <c r="AJ29">
        <v>0.33329873923160797</v>
      </c>
      <c r="AK29">
        <v>0.24528875277420401</v>
      </c>
      <c r="AL29">
        <v>0.18289527405548178</v>
      </c>
      <c r="AM29">
        <v>0.18407180368546575</v>
      </c>
      <c r="AN29">
        <v>0.24221117785607274</v>
      </c>
      <c r="AO29">
        <v>0.3673395532091841</v>
      </c>
      <c r="AP29">
        <v>0.80015992060742813</v>
      </c>
      <c r="AQ29">
        <v>0</v>
      </c>
      <c r="AR29">
        <v>0</v>
      </c>
      <c r="AS29">
        <v>0.30857898459532296</v>
      </c>
      <c r="AT29">
        <v>0.18716623792536088</v>
      </c>
      <c r="AU29">
        <v>0.1425171212291903</v>
      </c>
      <c r="AV29">
        <v>0.10550851658494335</v>
      </c>
      <c r="AW29">
        <v>0.10600248187385009</v>
      </c>
      <c r="AX29">
        <v>0.13426222044436803</v>
      </c>
      <c r="AY29">
        <v>0.196761272253029</v>
      </c>
      <c r="AZ29">
        <v>0.43284715717556782</v>
      </c>
      <c r="BA29">
        <v>0</v>
      </c>
      <c r="BB29">
        <v>0</v>
      </c>
      <c r="BC29">
        <v>0.92379635223680268</v>
      </c>
      <c r="BD29">
        <v>0.46666273430156258</v>
      </c>
      <c r="BE29">
        <v>0.28723902895304054</v>
      </c>
      <c r="BF29">
        <v>0.21673735213524417</v>
      </c>
      <c r="BG29">
        <v>0.23595224941888118</v>
      </c>
      <c r="BH29">
        <v>0.36368469305121864</v>
      </c>
      <c r="BI29">
        <v>0.71015084048583033</v>
      </c>
      <c r="BJ29">
        <v>0</v>
      </c>
      <c r="BK29">
        <v>0</v>
      </c>
      <c r="EU29" t="s">
        <v>184</v>
      </c>
      <c r="EV29">
        <v>0</v>
      </c>
      <c r="EW29">
        <v>0</v>
      </c>
      <c r="EX29">
        <v>8.673202783319291E-3</v>
      </c>
      <c r="EY29">
        <v>0.12615381038490267</v>
      </c>
      <c r="EZ29">
        <v>0.18223453583836643</v>
      </c>
      <c r="FA29">
        <v>0.17905570851515193</v>
      </c>
      <c r="FB29">
        <v>7.7336302589812833E-2</v>
      </c>
      <c r="FC29">
        <v>4.7493936490119555E-3</v>
      </c>
      <c r="FD29">
        <v>0</v>
      </c>
      <c r="FE29">
        <v>0</v>
      </c>
      <c r="FF29">
        <v>0</v>
      </c>
      <c r="FG29">
        <v>7.4052057713317063E-2</v>
      </c>
      <c r="FH29">
        <v>0.28414041015807223</v>
      </c>
      <c r="FI29">
        <v>0.4227414952629015</v>
      </c>
      <c r="FJ29">
        <v>0.43149924835300946</v>
      </c>
      <c r="FK29">
        <v>0.41131357471839303</v>
      </c>
      <c r="FL29">
        <v>0.32466164052801422</v>
      </c>
      <c r="FM29">
        <v>0.16394048033112024</v>
      </c>
      <c r="FN29">
        <v>1.7692393400905788E-2</v>
      </c>
      <c r="FO29">
        <v>0</v>
      </c>
      <c r="FP29">
        <v>0</v>
      </c>
      <c r="FQ29">
        <v>0.16038031739841774</v>
      </c>
      <c r="FR29">
        <v>0.3822870469260885</v>
      </c>
      <c r="FS29">
        <v>0.4951022551503339</v>
      </c>
      <c r="FT29">
        <v>0.49672178914559245</v>
      </c>
      <c r="FU29">
        <v>0.47989529898917921</v>
      </c>
      <c r="FV29">
        <v>0.41263482927432682</v>
      </c>
      <c r="FW29">
        <v>0.26046276505388027</v>
      </c>
      <c r="FX29">
        <v>6.9948038828744522E-2</v>
      </c>
      <c r="FY29">
        <v>0</v>
      </c>
      <c r="FZ29">
        <v>0</v>
      </c>
      <c r="GA29">
        <v>9.2797884450171331E-3</v>
      </c>
      <c r="GB29">
        <v>0.12587133773841611</v>
      </c>
      <c r="GC29">
        <v>0.25425231993765995</v>
      </c>
      <c r="GD29">
        <v>0.2619942654724241</v>
      </c>
      <c r="GE29">
        <v>0.26299372885418848</v>
      </c>
      <c r="GF29">
        <v>0.17095749523483572</v>
      </c>
      <c r="GG29">
        <v>4.5593285665225233E-2</v>
      </c>
      <c r="GH29">
        <v>0</v>
      </c>
      <c r="GI29">
        <v>0</v>
      </c>
      <c r="GK29" t="s">
        <v>184</v>
      </c>
      <c r="GL29" t="s">
        <v>221</v>
      </c>
      <c r="GM29" t="s">
        <v>222</v>
      </c>
      <c r="GN29">
        <v>0.43060021605105087</v>
      </c>
    </row>
    <row r="30" spans="22:196" x14ac:dyDescent="0.25">
      <c r="V30" t="s">
        <v>185</v>
      </c>
      <c r="W30" t="s">
        <v>31</v>
      </c>
      <c r="X30">
        <v>0</v>
      </c>
      <c r="Y30">
        <v>0</v>
      </c>
      <c r="Z30">
        <v>0.83688212805396445</v>
      </c>
      <c r="AA30">
        <v>0.34171217331442405</v>
      </c>
      <c r="AB30">
        <v>0.22775463042657187</v>
      </c>
      <c r="AC30">
        <v>0.25868937899395844</v>
      </c>
      <c r="AD30">
        <v>0.45341013233201527</v>
      </c>
      <c r="AE30">
        <v>0.90677461588218844</v>
      </c>
      <c r="AF30">
        <v>0</v>
      </c>
      <c r="AG30">
        <v>0</v>
      </c>
      <c r="AH30">
        <v>0.99782608695652153</v>
      </c>
      <c r="AI30">
        <v>0.58536894363720249</v>
      </c>
      <c r="AJ30">
        <v>0.32823643138924669</v>
      </c>
      <c r="AK30">
        <v>0.24026980804111719</v>
      </c>
      <c r="AL30">
        <v>0.17934840156745652</v>
      </c>
      <c r="AM30">
        <v>0.1939272745095359</v>
      </c>
      <c r="AN30">
        <v>0.25296246883331513</v>
      </c>
      <c r="AO30">
        <v>0.36484206743739067</v>
      </c>
      <c r="AP30">
        <v>0.80350556880516866</v>
      </c>
      <c r="AQ30">
        <v>0</v>
      </c>
      <c r="AR30">
        <v>0.93436594954983088</v>
      </c>
      <c r="AS30">
        <v>0.28560844083991765</v>
      </c>
      <c r="AT30">
        <v>0.16004480160955936</v>
      </c>
      <c r="AU30">
        <v>0.13120856441618292</v>
      </c>
      <c r="AV30">
        <v>0.10425641371526205</v>
      </c>
      <c r="AW30">
        <v>0.11272114909536275</v>
      </c>
      <c r="AX30">
        <v>0.14756764484187668</v>
      </c>
      <c r="AY30">
        <v>0.19235841692488623</v>
      </c>
      <c r="AZ30">
        <v>0.43963408539054377</v>
      </c>
      <c r="BA30">
        <v>0</v>
      </c>
      <c r="BB30">
        <v>0</v>
      </c>
      <c r="BC30">
        <v>0.89753610850287668</v>
      </c>
      <c r="BD30">
        <v>0.45313765183068633</v>
      </c>
      <c r="BE30">
        <v>0.29368570827916862</v>
      </c>
      <c r="BF30">
        <v>0.22443645247114846</v>
      </c>
      <c r="BG30">
        <v>0.25273216863076364</v>
      </c>
      <c r="BH30">
        <v>0.37217025779799984</v>
      </c>
      <c r="BI30">
        <v>0.72446557735787498</v>
      </c>
      <c r="BJ30">
        <v>0</v>
      </c>
      <c r="BK30">
        <v>0</v>
      </c>
      <c r="EU30" t="s">
        <v>185</v>
      </c>
      <c r="EV30">
        <v>0</v>
      </c>
      <c r="EW30">
        <v>0</v>
      </c>
      <c r="EX30">
        <v>8.9807719433979815E-3</v>
      </c>
      <c r="EY30">
        <v>0.11740130129204446</v>
      </c>
      <c r="EZ30">
        <v>0.17106523948332872</v>
      </c>
      <c r="FA30">
        <v>0.16557570202359961</v>
      </c>
      <c r="FB30">
        <v>6.2310163268143703E-2</v>
      </c>
      <c r="FC30">
        <v>3.3171973220464343E-3</v>
      </c>
      <c r="FD30">
        <v>0</v>
      </c>
      <c r="FE30">
        <v>0</v>
      </c>
      <c r="FF30">
        <v>1.1935166551799524E-6</v>
      </c>
      <c r="FG30">
        <v>8.9713798866811537E-2</v>
      </c>
      <c r="FH30">
        <v>0.3079210181756934</v>
      </c>
      <c r="FI30">
        <v>0.43091819926570868</v>
      </c>
      <c r="FJ30">
        <v>0.43753099925350863</v>
      </c>
      <c r="FK30">
        <v>0.41789814369216272</v>
      </c>
      <c r="FL30">
        <v>0.33370233272665145</v>
      </c>
      <c r="FM30">
        <v>0.17121766108516634</v>
      </c>
      <c r="FN30">
        <v>1.5878416774413037E-2</v>
      </c>
      <c r="FO30">
        <v>0</v>
      </c>
      <c r="FP30">
        <v>1.8407832198819175E-3</v>
      </c>
      <c r="FQ30">
        <v>0.17525982130511625</v>
      </c>
      <c r="FR30">
        <v>0.40037024373606334</v>
      </c>
      <c r="FS30">
        <v>0.49558888773846854</v>
      </c>
      <c r="FT30">
        <v>0.49447437496365332</v>
      </c>
      <c r="FU30">
        <v>0.47697443115833238</v>
      </c>
      <c r="FV30">
        <v>0.40871949457423534</v>
      </c>
      <c r="FW30">
        <v>0.26729428432511282</v>
      </c>
      <c r="FX30">
        <v>6.4644934032931256E-2</v>
      </c>
      <c r="FY30">
        <v>0</v>
      </c>
      <c r="FZ30">
        <v>0</v>
      </c>
      <c r="GA30">
        <v>1.147746106497563E-2</v>
      </c>
      <c r="GB30">
        <v>0.12551510284279976</v>
      </c>
      <c r="GC30">
        <v>0.24359860948391435</v>
      </c>
      <c r="GD30">
        <v>0.261892875890823</v>
      </c>
      <c r="GE30">
        <v>0.24692604395607423</v>
      </c>
      <c r="GF30">
        <v>0.15701652546843348</v>
      </c>
      <c r="GG30">
        <v>4.0874491917700012E-2</v>
      </c>
      <c r="GH30">
        <v>0</v>
      </c>
      <c r="GI30">
        <v>0</v>
      </c>
      <c r="GK30" t="s">
        <v>185</v>
      </c>
      <c r="GL30" t="s">
        <v>221</v>
      </c>
      <c r="GM30" t="s">
        <v>222</v>
      </c>
      <c r="GN30">
        <v>0.43737650622672103</v>
      </c>
    </row>
    <row r="31" spans="22:196" x14ac:dyDescent="0.25">
      <c r="V31" t="s">
        <v>186</v>
      </c>
      <c r="W31" t="s">
        <v>31</v>
      </c>
      <c r="X31">
        <v>0.35133349699807331</v>
      </c>
      <c r="Y31">
        <v>0.36461790898412749</v>
      </c>
      <c r="Z31">
        <v>0.34796199380938975</v>
      </c>
      <c r="AA31">
        <v>0.34338875979995465</v>
      </c>
      <c r="AB31">
        <v>0.35088305319667989</v>
      </c>
      <c r="AC31">
        <v>0.3630858337497137</v>
      </c>
      <c r="AD31">
        <v>0.35313578255154648</v>
      </c>
      <c r="AE31">
        <v>0.33871164254817548</v>
      </c>
      <c r="AF31">
        <v>0.33479749270424503</v>
      </c>
      <c r="AG31">
        <v>0.33906093801863912</v>
      </c>
      <c r="AH31">
        <v>0.32304122612880998</v>
      </c>
      <c r="AI31">
        <v>0.31613102612273036</v>
      </c>
      <c r="AJ31">
        <v>0.35742517786727174</v>
      </c>
      <c r="AK31">
        <v>0.37807043701419873</v>
      </c>
      <c r="AL31">
        <v>0.40316289849329834</v>
      </c>
      <c r="AM31">
        <v>0.39432702339834147</v>
      </c>
      <c r="AN31">
        <v>0.3851138002381832</v>
      </c>
      <c r="AO31">
        <v>0.38422768185563183</v>
      </c>
      <c r="AP31">
        <v>0.36402523029073131</v>
      </c>
      <c r="AQ31">
        <v>0.3396249253749592</v>
      </c>
      <c r="AR31">
        <v>0.42087552168700459</v>
      </c>
      <c r="AS31">
        <v>0.42056695377566755</v>
      </c>
      <c r="AT31">
        <v>0.49084839271046288</v>
      </c>
      <c r="AU31">
        <v>0.47998549078254421</v>
      </c>
      <c r="AV31">
        <v>0.48334566482366287</v>
      </c>
      <c r="AW31">
        <v>0.46047949012688993</v>
      </c>
      <c r="AX31">
        <v>0.43094365894047693</v>
      </c>
      <c r="AY31">
        <v>0.4212930844374288</v>
      </c>
      <c r="AZ31">
        <v>0.40858012257339771</v>
      </c>
      <c r="BA31">
        <v>0.41861899337807829</v>
      </c>
      <c r="BB31">
        <v>0.37724369459443569</v>
      </c>
      <c r="BC31">
        <v>0.37952024705347293</v>
      </c>
      <c r="BD31">
        <v>0.38746429660881371</v>
      </c>
      <c r="BE31">
        <v>0.40319078209302039</v>
      </c>
      <c r="BF31">
        <v>0.42891304377253547</v>
      </c>
      <c r="BG31">
        <v>0.42990456424415019</v>
      </c>
      <c r="BH31">
        <v>0.42524486905163217</v>
      </c>
      <c r="BI31">
        <v>0.38525757315279119</v>
      </c>
      <c r="BJ31">
        <v>0.35906876004809968</v>
      </c>
      <c r="BK31">
        <v>0.36695988444000677</v>
      </c>
      <c r="EU31" t="s">
        <v>186</v>
      </c>
      <c r="EV31">
        <v>0.4159424732324572</v>
      </c>
      <c r="EW31">
        <v>0.41037361178155413</v>
      </c>
      <c r="EX31">
        <v>0.41477916837720274</v>
      </c>
      <c r="EY31">
        <v>0.41418565994259987</v>
      </c>
      <c r="EZ31">
        <v>0.38179952722993699</v>
      </c>
      <c r="FA31">
        <v>0.38279913362368301</v>
      </c>
      <c r="FB31">
        <v>0.39756993624299342</v>
      </c>
      <c r="FC31">
        <v>0.42105312575119497</v>
      </c>
      <c r="FD31">
        <v>0.43025632801168362</v>
      </c>
      <c r="FE31">
        <v>0.42963759916893574</v>
      </c>
      <c r="FF31">
        <v>0.30005294441423763</v>
      </c>
      <c r="FG31">
        <v>0.29318924143427183</v>
      </c>
      <c r="FH31">
        <v>0.26028943146631256</v>
      </c>
      <c r="FI31">
        <v>0.24599284645855213</v>
      </c>
      <c r="FJ31">
        <v>0.22654577432190742</v>
      </c>
      <c r="FK31">
        <v>0.24572592711261157</v>
      </c>
      <c r="FL31">
        <v>0.25629237665698279</v>
      </c>
      <c r="FM31">
        <v>0.27262517832302113</v>
      </c>
      <c r="FN31">
        <v>0.29489139912740203</v>
      </c>
      <c r="FO31">
        <v>0.30779355779371431</v>
      </c>
      <c r="FP31">
        <v>0.17238429960996829</v>
      </c>
      <c r="FQ31">
        <v>0.16488230685176172</v>
      </c>
      <c r="FR31">
        <v>0.15365667138922029</v>
      </c>
      <c r="FS31">
        <v>0.161018072494161</v>
      </c>
      <c r="FT31">
        <v>0.1454470977478774</v>
      </c>
      <c r="FU31">
        <v>0.18042329525103593</v>
      </c>
      <c r="FV31">
        <v>0.19830548696708908</v>
      </c>
      <c r="FW31">
        <v>0.18551085449136867</v>
      </c>
      <c r="FX31">
        <v>0.17723614455707998</v>
      </c>
      <c r="FY31">
        <v>0.17609384331400535</v>
      </c>
      <c r="FZ31">
        <v>0.32277397579835682</v>
      </c>
      <c r="GA31">
        <v>0.31556342247865155</v>
      </c>
      <c r="GB31">
        <v>0.30778649789915913</v>
      </c>
      <c r="GC31">
        <v>0.30568845771351616</v>
      </c>
      <c r="GD31">
        <v>0.29961220857017651</v>
      </c>
      <c r="GE31">
        <v>0.30470110906213027</v>
      </c>
      <c r="GF31">
        <v>0.32474323164781044</v>
      </c>
      <c r="GG31">
        <v>0.34382048575435409</v>
      </c>
      <c r="GH31">
        <v>0.35333858061680995</v>
      </c>
      <c r="GI31">
        <v>0.35185247618593662</v>
      </c>
      <c r="GK31" t="s">
        <v>196</v>
      </c>
      <c r="GL31" t="s">
        <v>221</v>
      </c>
      <c r="GM31" t="s">
        <v>222</v>
      </c>
      <c r="GN31">
        <v>0.44686526303419805</v>
      </c>
    </row>
    <row r="32" spans="22:196" x14ac:dyDescent="0.25">
      <c r="V32" t="s">
        <v>187</v>
      </c>
      <c r="W32" t="s">
        <v>31</v>
      </c>
      <c r="X32">
        <v>0.30532318942101455</v>
      </c>
      <c r="Y32">
        <v>0.31244756417337066</v>
      </c>
      <c r="Z32">
        <v>0.29648706472259323</v>
      </c>
      <c r="AA32">
        <v>0.27818749197704035</v>
      </c>
      <c r="AB32">
        <v>0.29466955719957505</v>
      </c>
      <c r="AC32">
        <v>0.30913694246500395</v>
      </c>
      <c r="AD32">
        <v>0.28518085346450073</v>
      </c>
      <c r="AE32">
        <v>0.26680322161443631</v>
      </c>
      <c r="AF32">
        <v>0.26514824739184178</v>
      </c>
      <c r="AG32">
        <v>0.27269079974593524</v>
      </c>
      <c r="AH32">
        <v>0.29044561096916821</v>
      </c>
      <c r="AI32">
        <v>0.29673828781502848</v>
      </c>
      <c r="AJ32">
        <v>0.30250172432558903</v>
      </c>
      <c r="AK32">
        <v>0.32900954377529978</v>
      </c>
      <c r="AL32">
        <v>0.35736847105309172</v>
      </c>
      <c r="AM32">
        <v>0.35724926125309969</v>
      </c>
      <c r="AN32">
        <v>0.33977751706624942</v>
      </c>
      <c r="AO32">
        <v>0.32365786518122019</v>
      </c>
      <c r="AP32">
        <v>0.32540496801944552</v>
      </c>
      <c r="AQ32">
        <v>0.31241017931384502</v>
      </c>
      <c r="AR32">
        <v>0.3879748510599712</v>
      </c>
      <c r="AS32">
        <v>0.39291432112483965</v>
      </c>
      <c r="AT32">
        <v>0.41150161845337524</v>
      </c>
      <c r="AU32">
        <v>0.42163656840409097</v>
      </c>
      <c r="AV32">
        <v>0.43960118342095617</v>
      </c>
      <c r="AW32">
        <v>0.43178604423197053</v>
      </c>
      <c r="AX32">
        <v>0.40371036879930688</v>
      </c>
      <c r="AY32">
        <v>0.38934078484232593</v>
      </c>
      <c r="AZ32">
        <v>0.38225450934881156</v>
      </c>
      <c r="BA32">
        <v>0.403008855232387</v>
      </c>
      <c r="BB32">
        <v>0.35283973930095469</v>
      </c>
      <c r="BC32">
        <v>0.34490061523109733</v>
      </c>
      <c r="BD32">
        <v>0.34037286279490431</v>
      </c>
      <c r="BE32">
        <v>0.33393915029312449</v>
      </c>
      <c r="BF32">
        <v>0.35193935262808673</v>
      </c>
      <c r="BG32">
        <v>0.36283821695189322</v>
      </c>
      <c r="BH32">
        <v>0.35982342776126675</v>
      </c>
      <c r="BI32">
        <v>0.34582794362692465</v>
      </c>
      <c r="BJ32">
        <v>0.33168848880628843</v>
      </c>
      <c r="BK32">
        <v>0.33062076057762035</v>
      </c>
      <c r="EU32" t="s">
        <v>187</v>
      </c>
      <c r="EV32">
        <v>0.5881181443090655</v>
      </c>
      <c r="EW32">
        <v>0.5851822833642446</v>
      </c>
      <c r="EX32">
        <v>0.59796318041516794</v>
      </c>
      <c r="EY32">
        <v>0.6077811790197919</v>
      </c>
      <c r="EZ32">
        <v>0.58951688574790173</v>
      </c>
      <c r="FA32">
        <v>0.57606337478544944</v>
      </c>
      <c r="FB32">
        <v>0.59563628367883203</v>
      </c>
      <c r="FC32">
        <v>0.62233843017546842</v>
      </c>
      <c r="FD32">
        <v>0.62502592395840084</v>
      </c>
      <c r="FE32">
        <v>0.61900237110634893</v>
      </c>
      <c r="FF32">
        <v>0.51946225836334436</v>
      </c>
      <c r="FG32">
        <v>0.5093371410254256</v>
      </c>
      <c r="FH32">
        <v>0.50450538304647308</v>
      </c>
      <c r="FI32">
        <v>0.48678497000282223</v>
      </c>
      <c r="FJ32">
        <v>0.41709126632341981</v>
      </c>
      <c r="FK32">
        <v>0.42432579181243602</v>
      </c>
      <c r="FL32">
        <v>0.45694605265229482</v>
      </c>
      <c r="FM32">
        <v>0.49236403413582169</v>
      </c>
      <c r="FN32">
        <v>0.52593096410894158</v>
      </c>
      <c r="FO32">
        <v>0.53663662735941042</v>
      </c>
      <c r="FP32">
        <v>0.33420539484345463</v>
      </c>
      <c r="FQ32">
        <v>0.32653106713411773</v>
      </c>
      <c r="FR32">
        <v>0.32151121097259361</v>
      </c>
      <c r="FS32">
        <v>0.30859729304789157</v>
      </c>
      <c r="FT32">
        <v>0.27981564968128031</v>
      </c>
      <c r="FU32">
        <v>0.3066657033055899</v>
      </c>
      <c r="FV32">
        <v>0.3385258680598589</v>
      </c>
      <c r="FW32">
        <v>0.34338341654674914</v>
      </c>
      <c r="FX32">
        <v>0.3380429188468918</v>
      </c>
      <c r="FY32">
        <v>0.33377731187706983</v>
      </c>
      <c r="FZ32">
        <v>0.48776089311419141</v>
      </c>
      <c r="GA32">
        <v>0.48866999646512982</v>
      </c>
      <c r="GB32">
        <v>0.4993076727331302</v>
      </c>
      <c r="GC32">
        <v>0.50585957691567707</v>
      </c>
      <c r="GD32">
        <v>0.4867481860779323</v>
      </c>
      <c r="GE32">
        <v>0.4832313757637362</v>
      </c>
      <c r="GF32">
        <v>0.4926737052886338</v>
      </c>
      <c r="GG32">
        <v>0.5126530510733569</v>
      </c>
      <c r="GH32">
        <v>0.52428426857851118</v>
      </c>
      <c r="GI32">
        <v>0.5170213914394266</v>
      </c>
      <c r="GK32" t="s">
        <v>197</v>
      </c>
      <c r="GL32" t="s">
        <v>221</v>
      </c>
      <c r="GM32" t="s">
        <v>222</v>
      </c>
      <c r="GN32">
        <v>0.42182845018308041</v>
      </c>
    </row>
    <row r="33" spans="22:196" x14ac:dyDescent="0.25">
      <c r="V33" t="s">
        <v>188</v>
      </c>
      <c r="W33" t="s">
        <v>31</v>
      </c>
      <c r="X33">
        <v>0.32080699078362634</v>
      </c>
      <c r="Y33">
        <v>0.33260768816561742</v>
      </c>
      <c r="Z33">
        <v>0.31537213258330565</v>
      </c>
      <c r="AA33">
        <v>0.30694115603552541</v>
      </c>
      <c r="AB33">
        <v>0.31747098497172593</v>
      </c>
      <c r="AC33">
        <v>0.32759402367939672</v>
      </c>
      <c r="AD33">
        <v>0.31071061893880114</v>
      </c>
      <c r="AE33">
        <v>0.29919775110174984</v>
      </c>
      <c r="AF33">
        <v>0.29310238859070331</v>
      </c>
      <c r="AG33">
        <v>0.29950279820626013</v>
      </c>
      <c r="AH33">
        <v>0.30214983109345822</v>
      </c>
      <c r="AI33">
        <v>0.30741529891483071</v>
      </c>
      <c r="AJ33">
        <v>0.32350354634382333</v>
      </c>
      <c r="AK33">
        <v>0.35191678248725744</v>
      </c>
      <c r="AL33">
        <v>0.38161516591044625</v>
      </c>
      <c r="AM33">
        <v>0.37128975364759026</v>
      </c>
      <c r="AN33">
        <v>0.35259684939811464</v>
      </c>
      <c r="AO33">
        <v>0.34374501602154311</v>
      </c>
      <c r="AP33">
        <v>0.35051161988552432</v>
      </c>
      <c r="AQ33">
        <v>0.3318811852582576</v>
      </c>
      <c r="AR33">
        <v>0.40655407224990286</v>
      </c>
      <c r="AS33">
        <v>0.4130402028036198</v>
      </c>
      <c r="AT33">
        <v>0.44130097518561906</v>
      </c>
      <c r="AU33">
        <v>0.44877119343227451</v>
      </c>
      <c r="AV33">
        <v>0.45948338722558668</v>
      </c>
      <c r="AW33">
        <v>0.44932363806131465</v>
      </c>
      <c r="AX33">
        <v>0.40537859108485808</v>
      </c>
      <c r="AY33">
        <v>0.39447298785905643</v>
      </c>
      <c r="AZ33">
        <v>0.40071522574604657</v>
      </c>
      <c r="BA33">
        <v>0.42858398354820154</v>
      </c>
      <c r="BB33">
        <v>0.36517527261775218</v>
      </c>
      <c r="BC33">
        <v>0.36471287838135458</v>
      </c>
      <c r="BD33">
        <v>0.36024769355074637</v>
      </c>
      <c r="BE33">
        <v>0.36495135582734051</v>
      </c>
      <c r="BF33">
        <v>0.38872053050934441</v>
      </c>
      <c r="BG33">
        <v>0.39280933862021417</v>
      </c>
      <c r="BH33">
        <v>0.38786745270815509</v>
      </c>
      <c r="BI33">
        <v>0.35836604433185137</v>
      </c>
      <c r="BJ33">
        <v>0.33914113049939715</v>
      </c>
      <c r="BK33">
        <v>0.34489206069148326</v>
      </c>
      <c r="EU33" t="s">
        <v>188</v>
      </c>
      <c r="EV33">
        <v>0.52049689461852477</v>
      </c>
      <c r="EW33">
        <v>0.513736592300165</v>
      </c>
      <c r="EX33">
        <v>0.52090884981108665</v>
      </c>
      <c r="EY33">
        <v>0.52517232496604693</v>
      </c>
      <c r="EZ33">
        <v>0.49743514783590786</v>
      </c>
      <c r="FA33">
        <v>0.4924498328481971</v>
      </c>
      <c r="FB33">
        <v>0.51170226984337697</v>
      </c>
      <c r="FC33">
        <v>0.53960545863036991</v>
      </c>
      <c r="FD33">
        <v>0.54747725495921484</v>
      </c>
      <c r="FE33">
        <v>0.54523147808893091</v>
      </c>
      <c r="FF33">
        <v>0.4180453584149833</v>
      </c>
      <c r="FG33">
        <v>0.41116107638537491</v>
      </c>
      <c r="FH33">
        <v>0.38980793750084347</v>
      </c>
      <c r="FI33">
        <v>0.37008419790304159</v>
      </c>
      <c r="FJ33">
        <v>0.31827834459121795</v>
      </c>
      <c r="FK33">
        <v>0.32720873257963307</v>
      </c>
      <c r="FL33">
        <v>0.35476848209915152</v>
      </c>
      <c r="FM33">
        <v>0.38598978907603632</v>
      </c>
      <c r="FN33">
        <v>0.41344381695786858</v>
      </c>
      <c r="FO33">
        <v>0.42768612836623132</v>
      </c>
      <c r="FP33">
        <v>0.25579200860606016</v>
      </c>
      <c r="FQ33">
        <v>0.25228686040997789</v>
      </c>
      <c r="FR33">
        <v>0.24379474624583275</v>
      </c>
      <c r="FS33">
        <v>0.23969695295467708</v>
      </c>
      <c r="FT33">
        <v>0.21371257804286298</v>
      </c>
      <c r="FU33">
        <v>0.24635520096742464</v>
      </c>
      <c r="FV33">
        <v>0.27631245090402351</v>
      </c>
      <c r="FW33">
        <v>0.27396986404260454</v>
      </c>
      <c r="FX33">
        <v>0.26201779658478691</v>
      </c>
      <c r="FY33">
        <v>0.25754262164589825</v>
      </c>
      <c r="FZ33">
        <v>0.4183344526620813</v>
      </c>
      <c r="GA33">
        <v>0.41544062639456097</v>
      </c>
      <c r="GB33">
        <v>0.41571706546676712</v>
      </c>
      <c r="GC33">
        <v>0.41610200578784234</v>
      </c>
      <c r="GD33">
        <v>0.40164624487852668</v>
      </c>
      <c r="GE33">
        <v>0.39991666994464226</v>
      </c>
      <c r="GF33">
        <v>0.42332089961001534</v>
      </c>
      <c r="GG33">
        <v>0.44538081579238636</v>
      </c>
      <c r="GH33">
        <v>0.45599674205602964</v>
      </c>
      <c r="GI33">
        <v>0.44805170255134197</v>
      </c>
      <c r="GK33" t="s">
        <v>198</v>
      </c>
      <c r="GL33" t="s">
        <v>221</v>
      </c>
      <c r="GM33" t="s">
        <v>222</v>
      </c>
      <c r="GN33">
        <v>0.43620413014309006</v>
      </c>
    </row>
    <row r="34" spans="22:196" x14ac:dyDescent="0.25">
      <c r="V34" t="s">
        <v>189</v>
      </c>
      <c r="W34" t="s">
        <v>31</v>
      </c>
      <c r="X34">
        <v>0.3080447913565954</v>
      </c>
      <c r="Y34">
        <v>0.30003080806251975</v>
      </c>
      <c r="Z34">
        <v>0.2973261560856722</v>
      </c>
      <c r="AA34">
        <v>0.3061366663450506</v>
      </c>
      <c r="AB34">
        <v>0.30805632000465133</v>
      </c>
      <c r="AC34">
        <v>0.30048403344782787</v>
      </c>
      <c r="AD34">
        <v>0.27674917449988556</v>
      </c>
      <c r="AE34">
        <v>0.27164246936123415</v>
      </c>
      <c r="AF34">
        <v>0.28232642969594085</v>
      </c>
      <c r="AG34">
        <v>0.29147966503038641</v>
      </c>
      <c r="AH34">
        <v>0.28013079271853192</v>
      </c>
      <c r="AI34">
        <v>0.31678951299469099</v>
      </c>
      <c r="AJ34">
        <v>0.33664658326762781</v>
      </c>
      <c r="AK34">
        <v>0.33229695610339516</v>
      </c>
      <c r="AL34">
        <v>0.35229531563072897</v>
      </c>
      <c r="AM34">
        <v>0.3521795269445811</v>
      </c>
      <c r="AN34">
        <v>0.32755270771539674</v>
      </c>
      <c r="AO34">
        <v>0.30361813835905843</v>
      </c>
      <c r="AP34">
        <v>0.27981895528228229</v>
      </c>
      <c r="AQ34">
        <v>0.26158654860663694</v>
      </c>
      <c r="AR34">
        <v>0.33476131877617538</v>
      </c>
      <c r="AS34">
        <v>0.3381697571524967</v>
      </c>
      <c r="AT34">
        <v>0.35609287139621687</v>
      </c>
      <c r="AU34">
        <v>0.36630678541737743</v>
      </c>
      <c r="AV34">
        <v>0.39638023919117321</v>
      </c>
      <c r="AW34">
        <v>0.38903198137202188</v>
      </c>
      <c r="AX34">
        <v>0.38197094516014829</v>
      </c>
      <c r="AY34">
        <v>0.37678208428856791</v>
      </c>
      <c r="AZ34">
        <v>0.38009537300859064</v>
      </c>
      <c r="BA34">
        <v>0.36840788188562656</v>
      </c>
      <c r="BB34">
        <v>0.32750062281869308</v>
      </c>
      <c r="BC34">
        <v>0.3217660711886563</v>
      </c>
      <c r="BD34">
        <v>0.32273034151228119</v>
      </c>
      <c r="BE34">
        <v>0.32415576706448673</v>
      </c>
      <c r="BF34">
        <v>0.33068228274046657</v>
      </c>
      <c r="BG34">
        <v>0.346701669481845</v>
      </c>
      <c r="BH34">
        <v>0.35610567226218931</v>
      </c>
      <c r="BI34">
        <v>0.35541875334840378</v>
      </c>
      <c r="BJ34">
        <v>0.34847732842851653</v>
      </c>
      <c r="BK34">
        <v>0.34976223209853791</v>
      </c>
      <c r="EU34" t="s">
        <v>189</v>
      </c>
      <c r="EV34">
        <v>0.58318302916445852</v>
      </c>
      <c r="EW34">
        <v>0.60680586064969821</v>
      </c>
      <c r="EX34">
        <v>0.60792157045140793</v>
      </c>
      <c r="EY34">
        <v>0.60649701034133563</v>
      </c>
      <c r="EZ34">
        <v>0.6115043522545468</v>
      </c>
      <c r="FA34">
        <v>0.61006771498812129</v>
      </c>
      <c r="FB34">
        <v>0.62123588986517375</v>
      </c>
      <c r="FC34">
        <v>0.62874898827293024</v>
      </c>
      <c r="FD34">
        <v>0.62412854070783419</v>
      </c>
      <c r="FE34">
        <v>0.60198444902897497</v>
      </c>
      <c r="FF34">
        <v>0.57622404456329046</v>
      </c>
      <c r="FG34">
        <v>0.54375753687001949</v>
      </c>
      <c r="FH34">
        <v>0.53138553374945541</v>
      </c>
      <c r="FI34">
        <v>0.52776555328291008</v>
      </c>
      <c r="FJ34">
        <v>0.49922982449188091</v>
      </c>
      <c r="FK34">
        <v>0.51075457780399713</v>
      </c>
      <c r="FL34">
        <v>0.53836047145995403</v>
      </c>
      <c r="FM34">
        <v>0.5628232174325748</v>
      </c>
      <c r="FN34">
        <v>0.59020346379449473</v>
      </c>
      <c r="FO34">
        <v>0.59691062696702935</v>
      </c>
      <c r="FP34">
        <v>0.38365361711386015</v>
      </c>
      <c r="FQ34">
        <v>0.3649472433426772</v>
      </c>
      <c r="FR34">
        <v>0.35236598194372609</v>
      </c>
      <c r="FS34">
        <v>0.358797255707058</v>
      </c>
      <c r="FT34">
        <v>0.3293743941951176</v>
      </c>
      <c r="FU34">
        <v>0.35143158867218205</v>
      </c>
      <c r="FV34">
        <v>0.35688930615684689</v>
      </c>
      <c r="FW34">
        <v>0.35929804586024433</v>
      </c>
      <c r="FX34">
        <v>0.35648877417160463</v>
      </c>
      <c r="FY34">
        <v>0.38452742234335308</v>
      </c>
      <c r="FZ34">
        <v>0.53672048083358104</v>
      </c>
      <c r="GA34">
        <v>0.53113807740333618</v>
      </c>
      <c r="GB34">
        <v>0.54420609908950235</v>
      </c>
      <c r="GC34">
        <v>0.55603698852613626</v>
      </c>
      <c r="GD34">
        <v>0.54374658335111647</v>
      </c>
      <c r="GE34">
        <v>0.52675927561161606</v>
      </c>
      <c r="GF34">
        <v>0.52178181902215415</v>
      </c>
      <c r="GG34">
        <v>0.52151786673400502</v>
      </c>
      <c r="GH34">
        <v>0.53001082275637679</v>
      </c>
      <c r="GI34">
        <v>0.53824297045155789</v>
      </c>
      <c r="GK34" t="s">
        <v>199</v>
      </c>
      <c r="GL34" t="s">
        <v>221</v>
      </c>
      <c r="GM34" t="s">
        <v>222</v>
      </c>
      <c r="GN34">
        <v>0.46272199290212279</v>
      </c>
    </row>
    <row r="35" spans="22:196" x14ac:dyDescent="0.25">
      <c r="V35" t="s">
        <v>190</v>
      </c>
      <c r="W35" t="s">
        <v>31</v>
      </c>
      <c r="X35">
        <v>0.30884416591229996</v>
      </c>
      <c r="Y35">
        <v>0.30859033025935528</v>
      </c>
      <c r="Z35">
        <v>0.29383088575660538</v>
      </c>
      <c r="AA35">
        <v>0.28005387235441187</v>
      </c>
      <c r="AB35">
        <v>0.29216758292099554</v>
      </c>
      <c r="AC35">
        <v>0.30307976131364672</v>
      </c>
      <c r="AD35">
        <v>0.28506220077402505</v>
      </c>
      <c r="AE35">
        <v>0.27749249968081074</v>
      </c>
      <c r="AF35">
        <v>0.28043343527037368</v>
      </c>
      <c r="AG35">
        <v>0.28752352850975249</v>
      </c>
      <c r="AH35">
        <v>0.28941309300428608</v>
      </c>
      <c r="AI35">
        <v>0.31272203556304384</v>
      </c>
      <c r="AJ35">
        <v>0.32191677408885377</v>
      </c>
      <c r="AK35">
        <v>0.33807563931900864</v>
      </c>
      <c r="AL35">
        <v>0.36278276568732898</v>
      </c>
      <c r="AM35">
        <v>0.36607088801003496</v>
      </c>
      <c r="AN35">
        <v>0.33907455677920068</v>
      </c>
      <c r="AO35">
        <v>0.32323319008558704</v>
      </c>
      <c r="AP35">
        <v>0.29642784177657261</v>
      </c>
      <c r="AQ35">
        <v>0.28428303599902566</v>
      </c>
      <c r="AR35">
        <v>0.35318497468541593</v>
      </c>
      <c r="AS35">
        <v>0.35906609983446641</v>
      </c>
      <c r="AT35">
        <v>0.39040724623063328</v>
      </c>
      <c r="AU35">
        <v>0.41197634138399281</v>
      </c>
      <c r="AV35">
        <v>0.42372313018819041</v>
      </c>
      <c r="AW35">
        <v>0.42421153944728657</v>
      </c>
      <c r="AX35">
        <v>0.41676602080265696</v>
      </c>
      <c r="AY35">
        <v>0.3866073190183163</v>
      </c>
      <c r="AZ35">
        <v>0.37482678582667889</v>
      </c>
      <c r="BA35">
        <v>0.3727564041321747</v>
      </c>
      <c r="BB35">
        <v>0.34882001157950537</v>
      </c>
      <c r="BC35">
        <v>0.33085833869066844</v>
      </c>
      <c r="BD35">
        <v>0.33099997702730938</v>
      </c>
      <c r="BE35">
        <v>0.32770961035841084</v>
      </c>
      <c r="BF35">
        <v>0.32566428639129841</v>
      </c>
      <c r="BG35">
        <v>0.33838233589173261</v>
      </c>
      <c r="BH35">
        <v>0.34008682547354263</v>
      </c>
      <c r="BI35">
        <v>0.34009297693532858</v>
      </c>
      <c r="BJ35">
        <v>0.3365028240483634</v>
      </c>
      <c r="BK35">
        <v>0.34239122099337488</v>
      </c>
      <c r="EU35" t="s">
        <v>190</v>
      </c>
      <c r="EV35">
        <v>0.59533225769769516</v>
      </c>
      <c r="EW35">
        <v>0.60142103152442927</v>
      </c>
      <c r="EX35">
        <v>0.61330798119165297</v>
      </c>
      <c r="EY35">
        <v>0.6220864374304006</v>
      </c>
      <c r="EZ35">
        <v>0.61582308850424328</v>
      </c>
      <c r="FA35">
        <v>0.59902026183894008</v>
      </c>
      <c r="FB35">
        <v>0.60769252180308098</v>
      </c>
      <c r="FC35">
        <v>0.62168655034705689</v>
      </c>
      <c r="FD35">
        <v>0.62353904306107921</v>
      </c>
      <c r="FE35">
        <v>0.61346988971680638</v>
      </c>
      <c r="FF35">
        <v>0.55501065557365603</v>
      </c>
      <c r="FG35">
        <v>0.52410584790131121</v>
      </c>
      <c r="FH35">
        <v>0.52226214490685408</v>
      </c>
      <c r="FI35">
        <v>0.51812982881700786</v>
      </c>
      <c r="FJ35">
        <v>0.47516144532048343</v>
      </c>
      <c r="FK35">
        <v>0.49015816926240513</v>
      </c>
      <c r="FL35">
        <v>0.52169838661843249</v>
      </c>
      <c r="FM35">
        <v>0.54588907107700602</v>
      </c>
      <c r="FN35">
        <v>0.57731728075548039</v>
      </c>
      <c r="FO35">
        <v>0.58529616268132634</v>
      </c>
      <c r="FP35">
        <v>0.35646921775389445</v>
      </c>
      <c r="FQ35">
        <v>0.34065383380503678</v>
      </c>
      <c r="FR35">
        <v>0.3335870603619458</v>
      </c>
      <c r="FS35">
        <v>0.33021920597535387</v>
      </c>
      <c r="FT35">
        <v>0.3129087442706649</v>
      </c>
      <c r="FU35">
        <v>0.3463520889630981</v>
      </c>
      <c r="FV35">
        <v>0.3702730280966029</v>
      </c>
      <c r="FW35">
        <v>0.35708967442923373</v>
      </c>
      <c r="FX35">
        <v>0.34969194951045818</v>
      </c>
      <c r="FY35">
        <v>0.35553891365578155</v>
      </c>
      <c r="FZ35">
        <v>0.51091625503627947</v>
      </c>
      <c r="GA35">
        <v>0.51833654198709367</v>
      </c>
      <c r="GB35">
        <v>0.53455884491185435</v>
      </c>
      <c r="GC35">
        <v>0.54476082402407455</v>
      </c>
      <c r="GD35">
        <v>0.5361838970242282</v>
      </c>
      <c r="GE35">
        <v>0.52931319291138357</v>
      </c>
      <c r="GF35">
        <v>0.52394319461335637</v>
      </c>
      <c r="GG35">
        <v>0.53366023279689501</v>
      </c>
      <c r="GH35">
        <v>0.53423518236477108</v>
      </c>
      <c r="GI35">
        <v>0.5293871440381247</v>
      </c>
      <c r="GK35" t="s">
        <v>200</v>
      </c>
      <c r="GL35" t="s">
        <v>221</v>
      </c>
      <c r="GM35" t="s">
        <v>222</v>
      </c>
      <c r="GN35">
        <v>0.45576518314082703</v>
      </c>
    </row>
    <row r="36" spans="22:196" x14ac:dyDescent="0.25">
      <c r="V36" t="s">
        <v>191</v>
      </c>
      <c r="W36" t="s">
        <v>31</v>
      </c>
      <c r="X36">
        <v>0.31685434618771818</v>
      </c>
      <c r="Y36">
        <v>0.32236433963149203</v>
      </c>
      <c r="Z36">
        <v>0.3090548385106564</v>
      </c>
      <c r="AA36">
        <v>0.29539276314844976</v>
      </c>
      <c r="AB36">
        <v>0.30823613472738948</v>
      </c>
      <c r="AC36">
        <v>0.31029049501382061</v>
      </c>
      <c r="AD36">
        <v>0.29342552962402152</v>
      </c>
      <c r="AE36">
        <v>0.27433782500860532</v>
      </c>
      <c r="AF36">
        <v>0.26979020379278079</v>
      </c>
      <c r="AG36">
        <v>0.28597860843315936</v>
      </c>
      <c r="AH36">
        <v>0.28835162088165084</v>
      </c>
      <c r="AI36">
        <v>0.31720423241508278</v>
      </c>
      <c r="AJ36">
        <v>0.33175632588928006</v>
      </c>
      <c r="AK36">
        <v>0.33832875687425329</v>
      </c>
      <c r="AL36">
        <v>0.35134739721635494</v>
      </c>
      <c r="AM36">
        <v>0.35356551632673627</v>
      </c>
      <c r="AN36">
        <v>0.3369599527011668</v>
      </c>
      <c r="AO36">
        <v>0.32870798009692515</v>
      </c>
      <c r="AP36">
        <v>0.31538378350742013</v>
      </c>
      <c r="AQ36">
        <v>0.29044520563732795</v>
      </c>
      <c r="AR36">
        <v>0.34477477734156897</v>
      </c>
      <c r="AS36">
        <v>0.3447805299047968</v>
      </c>
      <c r="AT36">
        <v>0.37698603624568477</v>
      </c>
      <c r="AU36">
        <v>0.40049170674337203</v>
      </c>
      <c r="AV36">
        <v>0.4197004764202652</v>
      </c>
      <c r="AW36">
        <v>0.39695085442113243</v>
      </c>
      <c r="AX36">
        <v>0.37967637731933385</v>
      </c>
      <c r="AY36">
        <v>0.39707890474694169</v>
      </c>
      <c r="AZ36">
        <v>0.3993021021867218</v>
      </c>
      <c r="BA36">
        <v>0.38235154182221237</v>
      </c>
      <c r="BB36">
        <v>0.34664605834813872</v>
      </c>
      <c r="BC36">
        <v>0.33806554853292553</v>
      </c>
      <c r="BD36">
        <v>0.33263892637306158</v>
      </c>
      <c r="BE36">
        <v>0.3284040605869219</v>
      </c>
      <c r="BF36">
        <v>0.33761934789946663</v>
      </c>
      <c r="BG36">
        <v>0.3475926503799382</v>
      </c>
      <c r="BH36">
        <v>0.35153042698735365</v>
      </c>
      <c r="BI36">
        <v>0.35337909456488548</v>
      </c>
      <c r="BJ36">
        <v>0.34195028833519264</v>
      </c>
      <c r="BK36">
        <v>0.3411751946115979</v>
      </c>
      <c r="EU36" t="s">
        <v>191</v>
      </c>
      <c r="EV36">
        <v>0.5707263699389562</v>
      </c>
      <c r="EW36">
        <v>0.58094419838843803</v>
      </c>
      <c r="EX36">
        <v>0.59584168839769869</v>
      </c>
      <c r="EY36">
        <v>0.59426613979371901</v>
      </c>
      <c r="EZ36">
        <v>0.58910545349785615</v>
      </c>
      <c r="FA36">
        <v>0.58016712710237583</v>
      </c>
      <c r="FB36">
        <v>0.59653775607686588</v>
      </c>
      <c r="FC36">
        <v>0.61279089815627086</v>
      </c>
      <c r="FD36">
        <v>0.61525090505742064</v>
      </c>
      <c r="FE36">
        <v>0.59734359372738477</v>
      </c>
      <c r="FF36">
        <v>0.5239657930705649</v>
      </c>
      <c r="FG36">
        <v>0.49589312838590849</v>
      </c>
      <c r="FH36">
        <v>0.49285205660238079</v>
      </c>
      <c r="FI36">
        <v>0.48973250989280004</v>
      </c>
      <c r="FJ36">
        <v>0.45039376663428099</v>
      </c>
      <c r="FK36">
        <v>0.46817081713143766</v>
      </c>
      <c r="FL36">
        <v>0.49219340334777095</v>
      </c>
      <c r="FM36">
        <v>0.50862568720184576</v>
      </c>
      <c r="FN36">
        <v>0.52546758075298361</v>
      </c>
      <c r="FO36">
        <v>0.54300291716450888</v>
      </c>
      <c r="FP36">
        <v>0.33669392792422664</v>
      </c>
      <c r="FQ36">
        <v>0.32998921647552243</v>
      </c>
      <c r="FR36">
        <v>0.31947086973020888</v>
      </c>
      <c r="FS36">
        <v>0.31892374416389052</v>
      </c>
      <c r="FT36">
        <v>0.30440057129926718</v>
      </c>
      <c r="FU36">
        <v>0.33785293177065084</v>
      </c>
      <c r="FV36">
        <v>0.34765203932035632</v>
      </c>
      <c r="FW36">
        <v>0.3262748564466853</v>
      </c>
      <c r="FX36">
        <v>0.3167150478964097</v>
      </c>
      <c r="FY36">
        <v>0.32675665328502701</v>
      </c>
      <c r="FZ36">
        <v>0.49069364342079153</v>
      </c>
      <c r="GA36">
        <v>0.49307642511198774</v>
      </c>
      <c r="GB36">
        <v>0.50208492190471432</v>
      </c>
      <c r="GC36">
        <v>0.51341527693365163</v>
      </c>
      <c r="GD36">
        <v>0.49992542918475591</v>
      </c>
      <c r="GE36">
        <v>0.49138429604082096</v>
      </c>
      <c r="GF36">
        <v>0.49393561040988126</v>
      </c>
      <c r="GG36">
        <v>0.50100851390782764</v>
      </c>
      <c r="GH36">
        <v>0.50774297106755739</v>
      </c>
      <c r="GI36">
        <v>0.51041426491761388</v>
      </c>
      <c r="GK36" t="s">
        <v>201</v>
      </c>
      <c r="GL36" t="s">
        <v>221</v>
      </c>
      <c r="GM36" t="s">
        <v>222</v>
      </c>
      <c r="GN36">
        <v>0.45143703961459136</v>
      </c>
    </row>
    <row r="37" spans="22:196" x14ac:dyDescent="0.25">
      <c r="V37" t="s">
        <v>192</v>
      </c>
      <c r="W37" t="s">
        <v>31</v>
      </c>
      <c r="X37">
        <v>0.33290376302764541</v>
      </c>
      <c r="Y37">
        <v>0.33275200108346098</v>
      </c>
      <c r="Z37">
        <v>0.33256313289370304</v>
      </c>
      <c r="AA37">
        <v>0.32926756236065025</v>
      </c>
      <c r="AB37">
        <v>0.33047915678859235</v>
      </c>
      <c r="AC37">
        <v>0.32516840389197549</v>
      </c>
      <c r="AD37">
        <v>0.31090354704272077</v>
      </c>
      <c r="AE37">
        <v>0.29781925446383722</v>
      </c>
      <c r="AF37">
        <v>0.29740174899726263</v>
      </c>
      <c r="AG37">
        <v>0.32742725033173381</v>
      </c>
      <c r="AH37">
        <v>0.32710074801479078</v>
      </c>
      <c r="AI37">
        <v>0.34778875846790452</v>
      </c>
      <c r="AJ37">
        <v>0.36737291255234006</v>
      </c>
      <c r="AK37">
        <v>0.37210695475420263</v>
      </c>
      <c r="AL37">
        <v>0.37761424311502506</v>
      </c>
      <c r="AM37">
        <v>0.37404302516784743</v>
      </c>
      <c r="AN37">
        <v>0.36707767252194584</v>
      </c>
      <c r="AO37">
        <v>0.36297651291400307</v>
      </c>
      <c r="AP37">
        <v>0.33444743306609215</v>
      </c>
      <c r="AQ37">
        <v>0.3055876898622894</v>
      </c>
      <c r="AR37">
        <v>0.4088567564471226</v>
      </c>
      <c r="AS37">
        <v>0.40640915277804573</v>
      </c>
      <c r="AT37">
        <v>0.43149482001857264</v>
      </c>
      <c r="AU37">
        <v>0.42919638509501212</v>
      </c>
      <c r="AV37">
        <v>0.45921885828615083</v>
      </c>
      <c r="AW37">
        <v>0.45191840074473366</v>
      </c>
      <c r="AX37">
        <v>0.43078955884560888</v>
      </c>
      <c r="AY37">
        <v>0.43012413015744427</v>
      </c>
      <c r="AZ37">
        <v>0.41585311596239882</v>
      </c>
      <c r="BA37">
        <v>0.38598710580011619</v>
      </c>
      <c r="BB37">
        <v>0.3270023733412179</v>
      </c>
      <c r="BC37">
        <v>0.32266153149632365</v>
      </c>
      <c r="BD37">
        <v>0.32204705210794815</v>
      </c>
      <c r="BE37">
        <v>0.35366768041327279</v>
      </c>
      <c r="BF37">
        <v>0.37052641745351966</v>
      </c>
      <c r="BG37">
        <v>0.38170410907468483</v>
      </c>
      <c r="BH37">
        <v>0.37753080219590773</v>
      </c>
      <c r="BI37">
        <v>0.3515976682550358</v>
      </c>
      <c r="BJ37">
        <v>0.3339695907996344</v>
      </c>
      <c r="BK37">
        <v>0.32609930575012058</v>
      </c>
      <c r="EU37" t="s">
        <v>192</v>
      </c>
      <c r="EV37">
        <v>0.45409097932522657</v>
      </c>
      <c r="EW37">
        <v>0.46218444952398341</v>
      </c>
      <c r="EX37">
        <v>0.47386467771844043</v>
      </c>
      <c r="EY37">
        <v>0.47179799926233873</v>
      </c>
      <c r="EZ37">
        <v>0.48451415370411627</v>
      </c>
      <c r="FA37">
        <v>0.49220245142336716</v>
      </c>
      <c r="FB37">
        <v>0.49736055054051115</v>
      </c>
      <c r="FC37">
        <v>0.51127077338671501</v>
      </c>
      <c r="FD37">
        <v>0.51135352647004584</v>
      </c>
      <c r="FE37">
        <v>0.48072188840507418</v>
      </c>
      <c r="FF37">
        <v>0.37717546671198565</v>
      </c>
      <c r="FG37">
        <v>0.35915676846479822</v>
      </c>
      <c r="FH37">
        <v>0.34256678683758024</v>
      </c>
      <c r="FI37">
        <v>0.33858589081359353</v>
      </c>
      <c r="FJ37">
        <v>0.32836850822894947</v>
      </c>
      <c r="FK37">
        <v>0.34591522827043358</v>
      </c>
      <c r="FL37">
        <v>0.35492352978923053</v>
      </c>
      <c r="FM37">
        <v>0.37579000298453691</v>
      </c>
      <c r="FN37">
        <v>0.39386128449490615</v>
      </c>
      <c r="FO37">
        <v>0.39085525760510209</v>
      </c>
      <c r="FP37">
        <v>0.25739733878103932</v>
      </c>
      <c r="FQ37">
        <v>0.25997385191450506</v>
      </c>
      <c r="FR37">
        <v>0.25831644166633838</v>
      </c>
      <c r="FS37">
        <v>0.26851530465887469</v>
      </c>
      <c r="FT37">
        <v>0.24503961932295187</v>
      </c>
      <c r="FU37">
        <v>0.24688364984495675</v>
      </c>
      <c r="FV37">
        <v>0.25567661292841037</v>
      </c>
      <c r="FW37">
        <v>0.25559034678725495</v>
      </c>
      <c r="FX37">
        <v>0.26667242257023177</v>
      </c>
      <c r="FY37">
        <v>0.27479778449579934</v>
      </c>
      <c r="FZ37">
        <v>0.40730090797502716</v>
      </c>
      <c r="GA37">
        <v>0.39675171146601301</v>
      </c>
      <c r="GB37">
        <v>0.41538171547009489</v>
      </c>
      <c r="GC37">
        <v>0.42078399732176847</v>
      </c>
      <c r="GD37">
        <v>0.40926917290422443</v>
      </c>
      <c r="GE37">
        <v>0.39892744150896842</v>
      </c>
      <c r="GF37">
        <v>0.4017773180125262</v>
      </c>
      <c r="GG37">
        <v>0.43391842005688563</v>
      </c>
      <c r="GH37">
        <v>0.4572023128713682</v>
      </c>
      <c r="GI37">
        <v>0.45072883360182764</v>
      </c>
      <c r="GK37" t="s">
        <v>202</v>
      </c>
      <c r="GL37" t="s">
        <v>221</v>
      </c>
      <c r="GM37" t="s">
        <v>222</v>
      </c>
      <c r="GN37">
        <v>0.45997185870928964</v>
      </c>
    </row>
    <row r="38" spans="22:196" x14ac:dyDescent="0.25">
      <c r="V38" t="s">
        <v>193</v>
      </c>
      <c r="W38" t="s">
        <v>31</v>
      </c>
      <c r="X38">
        <v>0.30125575519789677</v>
      </c>
      <c r="Y38">
        <v>0.31047313552669825</v>
      </c>
      <c r="Z38">
        <v>0.30455326345198097</v>
      </c>
      <c r="AA38">
        <v>0.31211729810323408</v>
      </c>
      <c r="AB38">
        <v>0.2951019654715894</v>
      </c>
      <c r="AC38">
        <v>0.28726307537835055</v>
      </c>
      <c r="AD38">
        <v>0.27518938569422324</v>
      </c>
      <c r="AE38">
        <v>0.26339332359186168</v>
      </c>
      <c r="AF38">
        <v>0.27143782741996431</v>
      </c>
      <c r="AG38">
        <v>0.28675030301503457</v>
      </c>
      <c r="AH38">
        <v>0.29734773878077281</v>
      </c>
      <c r="AI38">
        <v>0.32269497918070927</v>
      </c>
      <c r="AJ38">
        <v>0.32911935153949523</v>
      </c>
      <c r="AK38">
        <v>0.32406463140188224</v>
      </c>
      <c r="AL38">
        <v>0.34531247480526955</v>
      </c>
      <c r="AM38">
        <v>0.35135681858906026</v>
      </c>
      <c r="AN38">
        <v>0.35534432966447083</v>
      </c>
      <c r="AO38">
        <v>0.34953396222284866</v>
      </c>
      <c r="AP38">
        <v>0.3238544853980318</v>
      </c>
      <c r="AQ38">
        <v>0.28869275461662669</v>
      </c>
      <c r="AR38">
        <v>0.40204867994275845</v>
      </c>
      <c r="AS38">
        <v>0.39938718390222511</v>
      </c>
      <c r="AT38">
        <v>0.40114700239109208</v>
      </c>
      <c r="AU38">
        <v>0.40648605808217136</v>
      </c>
      <c r="AV38">
        <v>0.4505350729640758</v>
      </c>
      <c r="AW38">
        <v>0.44776765095097226</v>
      </c>
      <c r="AX38">
        <v>0.42581269457548343</v>
      </c>
      <c r="AY38">
        <v>0.40522007501554008</v>
      </c>
      <c r="AZ38">
        <v>0.38734810398845082</v>
      </c>
      <c r="BA38">
        <v>0.36243635942903785</v>
      </c>
      <c r="BB38">
        <v>0.30833865993796633</v>
      </c>
      <c r="BC38">
        <v>0.31509486210830451</v>
      </c>
      <c r="BD38">
        <v>0.31599495145297113</v>
      </c>
      <c r="BE38">
        <v>0.32782819487187487</v>
      </c>
      <c r="BF38">
        <v>0.34732482704903445</v>
      </c>
      <c r="BG38">
        <v>0.36447831349835597</v>
      </c>
      <c r="BH38">
        <v>0.34743540773541509</v>
      </c>
      <c r="BI38">
        <v>0.31793086172969687</v>
      </c>
      <c r="BJ38">
        <v>0.30793154457320848</v>
      </c>
      <c r="BK38">
        <v>0.30604551526406809</v>
      </c>
      <c r="EU38" t="s">
        <v>193</v>
      </c>
      <c r="EV38">
        <v>0.57481513954465768</v>
      </c>
      <c r="EW38">
        <v>0.57121954538374287</v>
      </c>
      <c r="EX38">
        <v>0.58208317750686678</v>
      </c>
      <c r="EY38">
        <v>0.57625111058473411</v>
      </c>
      <c r="EZ38">
        <v>0.60372242177073365</v>
      </c>
      <c r="FA38">
        <v>0.61741035654254861</v>
      </c>
      <c r="FB38">
        <v>0.62600748834664999</v>
      </c>
      <c r="FC38">
        <v>0.64231446956063309</v>
      </c>
      <c r="FD38">
        <v>0.63651339384826655</v>
      </c>
      <c r="FE38">
        <v>0.60515226944947664</v>
      </c>
      <c r="FF38">
        <v>0.52607196381928645</v>
      </c>
      <c r="FG38">
        <v>0.49083092895105584</v>
      </c>
      <c r="FH38">
        <v>0.48738060036412234</v>
      </c>
      <c r="FI38">
        <v>0.48815455642806888</v>
      </c>
      <c r="FJ38">
        <v>0.47440498186642893</v>
      </c>
      <c r="FK38">
        <v>0.48197448664431447</v>
      </c>
      <c r="FL38">
        <v>0.49771439661357697</v>
      </c>
      <c r="FM38">
        <v>0.52614622213353623</v>
      </c>
      <c r="FN38">
        <v>0.54481104221283561</v>
      </c>
      <c r="FO38">
        <v>0.54913723976491458</v>
      </c>
      <c r="FP38">
        <v>0.36589594374650958</v>
      </c>
      <c r="FQ38">
        <v>0.35643495943267234</v>
      </c>
      <c r="FR38">
        <v>0.3625161396487534</v>
      </c>
      <c r="FS38">
        <v>0.36009188597963715</v>
      </c>
      <c r="FT38">
        <v>0.32006333008934756</v>
      </c>
      <c r="FU38">
        <v>0.32591049079755763</v>
      </c>
      <c r="FV38">
        <v>0.35283686220126204</v>
      </c>
      <c r="FW38">
        <v>0.38459112411013996</v>
      </c>
      <c r="FX38">
        <v>0.4139220078781955</v>
      </c>
      <c r="FY38">
        <v>0.40689178127212783</v>
      </c>
      <c r="FZ38">
        <v>0.51621896936033007</v>
      </c>
      <c r="GA38">
        <v>0.5019713493167165</v>
      </c>
      <c r="GB38">
        <v>0.521289882483842</v>
      </c>
      <c r="GC38">
        <v>0.52890118210409076</v>
      </c>
      <c r="GD38">
        <v>0.5139220543532016</v>
      </c>
      <c r="GE38">
        <v>0.49923565614933091</v>
      </c>
      <c r="GF38">
        <v>0.50316641082632152</v>
      </c>
      <c r="GG38">
        <v>0.54019361587544457</v>
      </c>
      <c r="GH38">
        <v>0.56928258356801997</v>
      </c>
      <c r="GI38">
        <v>0.55924448206446309</v>
      </c>
      <c r="GK38" t="s">
        <v>203</v>
      </c>
      <c r="GL38" t="s">
        <v>221</v>
      </c>
      <c r="GM38" t="s">
        <v>222</v>
      </c>
      <c r="GN38">
        <v>0.45635643124695541</v>
      </c>
    </row>
    <row r="39" spans="22:196" x14ac:dyDescent="0.25">
      <c r="V39" t="s">
        <v>194</v>
      </c>
      <c r="W39" t="s">
        <v>31</v>
      </c>
      <c r="X39">
        <v>0.29984069449646794</v>
      </c>
      <c r="Y39">
        <v>0.29570215831672647</v>
      </c>
      <c r="Z39">
        <v>0.30145816682155246</v>
      </c>
      <c r="AA39">
        <v>0.31272975733446423</v>
      </c>
      <c r="AB39">
        <v>0.30245690667119168</v>
      </c>
      <c r="AC39">
        <v>0.29872777810099593</v>
      </c>
      <c r="AD39">
        <v>0.27264125757871949</v>
      </c>
      <c r="AE39">
        <v>0.26546674570369155</v>
      </c>
      <c r="AF39">
        <v>0.27099864084006225</v>
      </c>
      <c r="AG39">
        <v>0.28097590590389748</v>
      </c>
      <c r="AH39">
        <v>0.27958089088864263</v>
      </c>
      <c r="AI39">
        <v>0.31597538610072723</v>
      </c>
      <c r="AJ39">
        <v>0.33524788442729703</v>
      </c>
      <c r="AK39">
        <v>0.32363104274760329</v>
      </c>
      <c r="AL39">
        <v>0.33627442856596401</v>
      </c>
      <c r="AM39">
        <v>0.34191863778105552</v>
      </c>
      <c r="AN39">
        <v>0.33120206647814437</v>
      </c>
      <c r="AO39">
        <v>0.32767026993009724</v>
      </c>
      <c r="AP39">
        <v>0.30316132015526309</v>
      </c>
      <c r="AQ39">
        <v>0.2743761295088365</v>
      </c>
      <c r="AR39">
        <v>0.35629729438745783</v>
      </c>
      <c r="AS39">
        <v>0.3587999398131676</v>
      </c>
      <c r="AT39">
        <v>0.36209703309477009</v>
      </c>
      <c r="AU39">
        <v>0.37488862161366104</v>
      </c>
      <c r="AV39">
        <v>0.4095923239732473</v>
      </c>
      <c r="AW39">
        <v>0.39894300621695661</v>
      </c>
      <c r="AX39">
        <v>0.39570949144388928</v>
      </c>
      <c r="AY39">
        <v>0.39126494405978124</v>
      </c>
      <c r="AZ39">
        <v>0.39715339694012486</v>
      </c>
      <c r="BA39">
        <v>0.38426734732672391</v>
      </c>
      <c r="BB39">
        <v>0.31556217512734064</v>
      </c>
      <c r="BC39">
        <v>0.32160756842178506</v>
      </c>
      <c r="BD39">
        <v>0.31988150610377042</v>
      </c>
      <c r="BE39">
        <v>0.32590025874981748</v>
      </c>
      <c r="BF39">
        <v>0.34079351917723177</v>
      </c>
      <c r="BG39">
        <v>0.35200141564939236</v>
      </c>
      <c r="BH39">
        <v>0.34585597028453208</v>
      </c>
      <c r="BI39">
        <v>0.33063610712490471</v>
      </c>
      <c r="BJ39">
        <v>0.32401914353423922</v>
      </c>
      <c r="BK39">
        <v>0.32337042647599279</v>
      </c>
      <c r="EU39" t="s">
        <v>194</v>
      </c>
      <c r="EV39">
        <v>0.58226353603074432</v>
      </c>
      <c r="EW39">
        <v>0.59985124622851049</v>
      </c>
      <c r="EX39">
        <v>0.60318691541188196</v>
      </c>
      <c r="EY39">
        <v>0.59261239230026375</v>
      </c>
      <c r="EZ39">
        <v>0.61222117111630203</v>
      </c>
      <c r="FA39">
        <v>0.61381946011961919</v>
      </c>
      <c r="FB39">
        <v>0.63376788727089162</v>
      </c>
      <c r="FC39">
        <v>0.64206873489157001</v>
      </c>
      <c r="FD39">
        <v>0.63594216789855218</v>
      </c>
      <c r="FE39">
        <v>0.60594486449322116</v>
      </c>
      <c r="FF39">
        <v>0.55858907606968633</v>
      </c>
      <c r="FG39">
        <v>0.52946333576580518</v>
      </c>
      <c r="FH39">
        <v>0.51934377024592859</v>
      </c>
      <c r="FI39">
        <v>0.51774323168835767</v>
      </c>
      <c r="FJ39">
        <v>0.4997466615959989</v>
      </c>
      <c r="FK39">
        <v>0.50713162216902352</v>
      </c>
      <c r="FL39">
        <v>0.52820608704930339</v>
      </c>
      <c r="FM39">
        <v>0.54316219240625496</v>
      </c>
      <c r="FN39">
        <v>0.56427799870109185</v>
      </c>
      <c r="FO39">
        <v>0.57317641978150702</v>
      </c>
      <c r="FP39">
        <v>0.38367114708858102</v>
      </c>
      <c r="FQ39">
        <v>0.35730464924047645</v>
      </c>
      <c r="FR39">
        <v>0.36051006136250113</v>
      </c>
      <c r="FS39">
        <v>0.36004889152485908</v>
      </c>
      <c r="FT39">
        <v>0.31937016149659703</v>
      </c>
      <c r="FU39">
        <v>0.3350574788129107</v>
      </c>
      <c r="FV39">
        <v>0.34914124501754273</v>
      </c>
      <c r="FW39">
        <v>0.36446174998348957</v>
      </c>
      <c r="FX39">
        <v>0.36083372517327933</v>
      </c>
      <c r="FY39">
        <v>0.38537861147068525</v>
      </c>
      <c r="FZ39">
        <v>0.53640613560914296</v>
      </c>
      <c r="GA39">
        <v>0.51986993848495944</v>
      </c>
      <c r="GB39">
        <v>0.53662440073669371</v>
      </c>
      <c r="GC39">
        <v>0.53921011732500002</v>
      </c>
      <c r="GD39">
        <v>0.52441572838567752</v>
      </c>
      <c r="GE39">
        <v>0.51342377613653545</v>
      </c>
      <c r="GF39">
        <v>0.51490459558199164</v>
      </c>
      <c r="GG39">
        <v>0.53242527845860277</v>
      </c>
      <c r="GH39">
        <v>0.55072757666063155</v>
      </c>
      <c r="GI39">
        <v>0.55022637353318493</v>
      </c>
      <c r="GK39" t="s">
        <v>204</v>
      </c>
      <c r="GL39" t="s">
        <v>221</v>
      </c>
      <c r="GM39" t="s">
        <v>222</v>
      </c>
      <c r="GN39">
        <v>0.47618310548386</v>
      </c>
    </row>
    <row r="40" spans="22:196" x14ac:dyDescent="0.25">
      <c r="V40" t="s">
        <v>195</v>
      </c>
      <c r="W40" t="s">
        <v>31</v>
      </c>
      <c r="X40">
        <v>0.314468995607322</v>
      </c>
      <c r="Y40">
        <v>0.31931488813555992</v>
      </c>
      <c r="Z40">
        <v>0.31308944915369186</v>
      </c>
      <c r="AA40">
        <v>0.31521723395921525</v>
      </c>
      <c r="AB40">
        <v>0.31650693232828647</v>
      </c>
      <c r="AC40">
        <v>0.30920844336881353</v>
      </c>
      <c r="AD40">
        <v>0.29230302555876636</v>
      </c>
      <c r="AE40">
        <v>0.27705551474270074</v>
      </c>
      <c r="AF40">
        <v>0.27890760212888643</v>
      </c>
      <c r="AG40">
        <v>0.30092172691314245</v>
      </c>
      <c r="AH40">
        <v>0.30727239259368389</v>
      </c>
      <c r="AI40">
        <v>0.33880175445529687</v>
      </c>
      <c r="AJ40">
        <v>0.3533005793650722</v>
      </c>
      <c r="AK40">
        <v>0.34498793119009835</v>
      </c>
      <c r="AL40">
        <v>0.35705103415611633</v>
      </c>
      <c r="AM40">
        <v>0.36115199855513397</v>
      </c>
      <c r="AN40">
        <v>0.36104211630742605</v>
      </c>
      <c r="AO40">
        <v>0.35424857632447715</v>
      </c>
      <c r="AP40">
        <v>0.33754678956807083</v>
      </c>
      <c r="AQ40">
        <v>0.29683139418010956</v>
      </c>
      <c r="AR40">
        <v>0.3961957112623456</v>
      </c>
      <c r="AS40">
        <v>0.39416232284000219</v>
      </c>
      <c r="AT40">
        <v>0.39880412938943782</v>
      </c>
      <c r="AU40">
        <v>0.40375731601230147</v>
      </c>
      <c r="AV40">
        <v>0.44203013525086482</v>
      </c>
      <c r="AW40">
        <v>0.43204206898858427</v>
      </c>
      <c r="AX40">
        <v>0.42320287319810829</v>
      </c>
      <c r="AY40">
        <v>0.42165379243331613</v>
      </c>
      <c r="AZ40">
        <v>0.42122042357965261</v>
      </c>
      <c r="BA40">
        <v>0.3988320715583708</v>
      </c>
      <c r="BB40">
        <v>0.32141493038445035</v>
      </c>
      <c r="BC40">
        <v>0.33128830080518712</v>
      </c>
      <c r="BD40">
        <v>0.32819256510642159</v>
      </c>
      <c r="BE40">
        <v>0.34203237365437256</v>
      </c>
      <c r="BF40">
        <v>0.35848035300170378</v>
      </c>
      <c r="BG40">
        <v>0.37071554108263216</v>
      </c>
      <c r="BH40">
        <v>0.36186080583895908</v>
      </c>
      <c r="BI40">
        <v>0.33376588596748114</v>
      </c>
      <c r="BJ40">
        <v>0.31914016142052515</v>
      </c>
      <c r="BK40">
        <v>0.32654976116658252</v>
      </c>
      <c r="EU40" t="s">
        <v>195</v>
      </c>
      <c r="EV40">
        <v>0.53918109707152606</v>
      </c>
      <c r="EW40">
        <v>0.55162604342874733</v>
      </c>
      <c r="EX40">
        <v>0.56413028128208864</v>
      </c>
      <c r="EY40">
        <v>0.55701780207983631</v>
      </c>
      <c r="EZ40">
        <v>0.573491185552088</v>
      </c>
      <c r="FA40">
        <v>0.58166545039127715</v>
      </c>
      <c r="FB40">
        <v>0.59742234539000139</v>
      </c>
      <c r="FC40">
        <v>0.60516106263158898</v>
      </c>
      <c r="FD40">
        <v>0.60448020683127635</v>
      </c>
      <c r="FE40">
        <v>0.56638742163869293</v>
      </c>
      <c r="FF40">
        <v>0.47908132499946976</v>
      </c>
      <c r="FG40">
        <v>0.45496679694588654</v>
      </c>
      <c r="FH40">
        <v>0.4436352588175973</v>
      </c>
      <c r="FI40">
        <v>0.44161384892471039</v>
      </c>
      <c r="FJ40">
        <v>0.4278999343169872</v>
      </c>
      <c r="FK40">
        <v>0.43941777302564278</v>
      </c>
      <c r="FL40">
        <v>0.45322687066469436</v>
      </c>
      <c r="FM40">
        <v>0.46564870604875197</v>
      </c>
      <c r="FN40">
        <v>0.48081228920058394</v>
      </c>
      <c r="FO40">
        <v>0.49075582114913435</v>
      </c>
      <c r="FP40">
        <v>0.33110227005560056</v>
      </c>
      <c r="FQ40">
        <v>0.31770514786027226</v>
      </c>
      <c r="FR40">
        <v>0.32334043001373447</v>
      </c>
      <c r="FS40">
        <v>0.32967853759582827</v>
      </c>
      <c r="FT40">
        <v>0.29766281958457635</v>
      </c>
      <c r="FU40">
        <v>0.30699879960272858</v>
      </c>
      <c r="FV40">
        <v>0.31464283348788669</v>
      </c>
      <c r="FW40">
        <v>0.32202093544478544</v>
      </c>
      <c r="FX40">
        <v>0.32339083808082242</v>
      </c>
      <c r="FY40">
        <v>0.33944435733137218</v>
      </c>
      <c r="FZ40">
        <v>0.49642480222010343</v>
      </c>
      <c r="GA40">
        <v>0.47886761807115635</v>
      </c>
      <c r="GB40">
        <v>0.49224058447232111</v>
      </c>
      <c r="GC40">
        <v>0.49710620446930454</v>
      </c>
      <c r="GD40">
        <v>0.48356073956898754</v>
      </c>
      <c r="GE40">
        <v>0.47853005840966806</v>
      </c>
      <c r="GF40">
        <v>0.47846220605802614</v>
      </c>
      <c r="GG40">
        <v>0.50380971639001926</v>
      </c>
      <c r="GH40">
        <v>0.53009517169322384</v>
      </c>
      <c r="GI40">
        <v>0.52923660716306553</v>
      </c>
      <c r="GK40" t="s">
        <v>205</v>
      </c>
      <c r="GL40" t="s">
        <v>221</v>
      </c>
      <c r="GM40" t="s">
        <v>222</v>
      </c>
      <c r="GN40">
        <v>0.50273477410841805</v>
      </c>
    </row>
    <row r="41" spans="22:196" x14ac:dyDescent="0.25">
      <c r="V41" t="s">
        <v>196</v>
      </c>
      <c r="W41" t="s">
        <v>31</v>
      </c>
      <c r="X41">
        <v>0.34850633121577246</v>
      </c>
      <c r="Y41">
        <v>0.33015188791162475</v>
      </c>
      <c r="Z41">
        <v>0.33158233951531391</v>
      </c>
      <c r="AA41">
        <v>0.35970605638756442</v>
      </c>
      <c r="AB41">
        <v>0.40729374057602241</v>
      </c>
      <c r="AC41">
        <v>0.4190604812420673</v>
      </c>
      <c r="AD41">
        <v>0.4063366979633366</v>
      </c>
      <c r="AE41">
        <v>0.37561909356990481</v>
      </c>
      <c r="AF41">
        <v>0.35921070284369655</v>
      </c>
      <c r="AG41">
        <v>0.35418035499859607</v>
      </c>
      <c r="AH41">
        <v>0.31283628005590086</v>
      </c>
      <c r="AI41">
        <v>0.309409723774832</v>
      </c>
      <c r="AJ41">
        <v>0.37109260628834512</v>
      </c>
      <c r="AK41">
        <v>0.36407690489151495</v>
      </c>
      <c r="AL41">
        <v>0.39983626188347082</v>
      </c>
      <c r="AM41">
        <v>0.39003962494264521</v>
      </c>
      <c r="AN41">
        <v>0.37283147242091474</v>
      </c>
      <c r="AO41">
        <v>0.37185439715707985</v>
      </c>
      <c r="AP41">
        <v>0.34138572652711124</v>
      </c>
      <c r="AQ41">
        <v>0.31741285718983664</v>
      </c>
      <c r="AR41">
        <v>0.32255989601175711</v>
      </c>
      <c r="AS41">
        <v>0.34439034674853508</v>
      </c>
      <c r="AT41">
        <v>0.46310512820701877</v>
      </c>
      <c r="AU41">
        <v>0.44065922463209439</v>
      </c>
      <c r="AV41">
        <v>0.47263501529050067</v>
      </c>
      <c r="AW41">
        <v>0.45970300297403444</v>
      </c>
      <c r="AX41">
        <v>0.44247834173971357</v>
      </c>
      <c r="AY41">
        <v>0.43211949391754462</v>
      </c>
      <c r="AZ41">
        <v>0.3633735960514759</v>
      </c>
      <c r="BA41">
        <v>0.32606323002751292</v>
      </c>
      <c r="BB41">
        <v>0.36316434254116831</v>
      </c>
      <c r="BC41">
        <v>0.3598260855401843</v>
      </c>
      <c r="BD41">
        <v>0.38951948917226642</v>
      </c>
      <c r="BE41">
        <v>0.42580905326629431</v>
      </c>
      <c r="BF41">
        <v>0.43309175040666537</v>
      </c>
      <c r="BG41">
        <v>0.42334516516871407</v>
      </c>
      <c r="BH41">
        <v>0.40318496373175999</v>
      </c>
      <c r="BI41">
        <v>0.37390683674244063</v>
      </c>
      <c r="BJ41">
        <v>0.34509105153764347</v>
      </c>
      <c r="BK41">
        <v>0.34140497528329028</v>
      </c>
      <c r="EU41" t="s">
        <v>196</v>
      </c>
      <c r="EV41">
        <v>0.4180256656310895</v>
      </c>
      <c r="EW41">
        <v>0.4216428842444982</v>
      </c>
      <c r="EX41">
        <v>0.42623533621758425</v>
      </c>
      <c r="EY41">
        <v>0.41619556234609517</v>
      </c>
      <c r="EZ41">
        <v>0.37126928805966602</v>
      </c>
      <c r="FA41">
        <v>0.36492950149455256</v>
      </c>
      <c r="FB41">
        <v>0.38696247311192855</v>
      </c>
      <c r="FC41">
        <v>0.42887562938780699</v>
      </c>
      <c r="FD41">
        <v>0.44738496259437099</v>
      </c>
      <c r="FE41">
        <v>0.43909705329024346</v>
      </c>
      <c r="FF41">
        <v>0.35245403598677139</v>
      </c>
      <c r="FG41">
        <v>0.33233520859588572</v>
      </c>
      <c r="FH41">
        <v>0.27850569413597759</v>
      </c>
      <c r="FI41">
        <v>0.26587309112366919</v>
      </c>
      <c r="FJ41">
        <v>0.23629479697111955</v>
      </c>
      <c r="FK41">
        <v>0.2621406042784335</v>
      </c>
      <c r="FL41">
        <v>0.26469290493775982</v>
      </c>
      <c r="FM41">
        <v>0.27836508763564988</v>
      </c>
      <c r="FN41">
        <v>0.32781394358351484</v>
      </c>
      <c r="FO41">
        <v>0.35510117091019777</v>
      </c>
      <c r="FP41">
        <v>0.18559183698301562</v>
      </c>
      <c r="FQ41">
        <v>0.14319533598027462</v>
      </c>
      <c r="FR41">
        <v>0.10538325366872216</v>
      </c>
      <c r="FS41">
        <v>0.12396102092750963</v>
      </c>
      <c r="FT41">
        <v>0.10553664494526994</v>
      </c>
      <c r="FU41">
        <v>0.13784977830339268</v>
      </c>
      <c r="FV41">
        <v>0.14332546272182464</v>
      </c>
      <c r="FW41">
        <v>0.13577404789944891</v>
      </c>
      <c r="FX41">
        <v>0.15437932019902884</v>
      </c>
      <c r="FY41">
        <v>0.19816181547363798</v>
      </c>
      <c r="FZ41">
        <v>0.31549887186732262</v>
      </c>
      <c r="GA41">
        <v>0.3001458230246043</v>
      </c>
      <c r="GB41">
        <v>0.28951797954269226</v>
      </c>
      <c r="GC41">
        <v>0.26946314095493307</v>
      </c>
      <c r="GD41">
        <v>0.2493175403308176</v>
      </c>
      <c r="GE41">
        <v>0.26241152949707286</v>
      </c>
      <c r="GF41">
        <v>0.27570840663542456</v>
      </c>
      <c r="GG41">
        <v>0.31878061944004399</v>
      </c>
      <c r="GH41">
        <v>0.3546137477713065</v>
      </c>
      <c r="GI41">
        <v>0.3606893347480003</v>
      </c>
      <c r="GK41" t="s">
        <v>206</v>
      </c>
      <c r="GL41" t="s">
        <v>221</v>
      </c>
      <c r="GM41" t="s">
        <v>222</v>
      </c>
      <c r="GN41">
        <v>0.38552323832648355</v>
      </c>
    </row>
    <row r="42" spans="22:196" x14ac:dyDescent="0.25">
      <c r="V42" t="s">
        <v>197</v>
      </c>
      <c r="W42" t="s">
        <v>31</v>
      </c>
      <c r="X42">
        <v>0.32756875643521505</v>
      </c>
      <c r="Y42">
        <v>0.3308478774680389</v>
      </c>
      <c r="Z42">
        <v>0.32650911015777667</v>
      </c>
      <c r="AA42">
        <v>0.34979677739355225</v>
      </c>
      <c r="AB42">
        <v>0.40083959397722241</v>
      </c>
      <c r="AC42">
        <v>0.4031306363488053</v>
      </c>
      <c r="AD42">
        <v>0.37553999065989646</v>
      </c>
      <c r="AE42">
        <v>0.34239645876479136</v>
      </c>
      <c r="AF42">
        <v>0.32370422570472046</v>
      </c>
      <c r="AG42">
        <v>0.32365655621984418</v>
      </c>
      <c r="AH42">
        <v>0.34414313286658144</v>
      </c>
      <c r="AI42">
        <v>0.35693544792792509</v>
      </c>
      <c r="AJ42">
        <v>0.43450199991268801</v>
      </c>
      <c r="AK42">
        <v>0.44281503884733203</v>
      </c>
      <c r="AL42">
        <v>0.45948489315551638</v>
      </c>
      <c r="AM42">
        <v>0.41966765539993051</v>
      </c>
      <c r="AN42">
        <v>0.40632428094359851</v>
      </c>
      <c r="AO42">
        <v>0.37298710811476993</v>
      </c>
      <c r="AP42">
        <v>0.32853417350009578</v>
      </c>
      <c r="AQ42">
        <v>0.32617705082521103</v>
      </c>
      <c r="AR42">
        <v>0.30973207796418067</v>
      </c>
      <c r="AS42">
        <v>0.35588145503867524</v>
      </c>
      <c r="AT42">
        <v>0.48828039115737298</v>
      </c>
      <c r="AU42">
        <v>0.46679920204106407</v>
      </c>
      <c r="AV42">
        <v>0.46398055728644078</v>
      </c>
      <c r="AW42">
        <v>0.45064273569011182</v>
      </c>
      <c r="AX42">
        <v>0.4429263500762266</v>
      </c>
      <c r="AY42">
        <v>0.42699245417708198</v>
      </c>
      <c r="AZ42">
        <v>0.36143201709781092</v>
      </c>
      <c r="BA42">
        <v>0.33445102966452017</v>
      </c>
      <c r="BB42">
        <v>0.37115433713054857</v>
      </c>
      <c r="BC42">
        <v>0.37433218952202368</v>
      </c>
      <c r="BD42">
        <v>0.40458509548682881</v>
      </c>
      <c r="BE42">
        <v>0.44991893867697424</v>
      </c>
      <c r="BF42">
        <v>0.46702919623262179</v>
      </c>
      <c r="BG42">
        <v>0.44871214713340418</v>
      </c>
      <c r="BH42">
        <v>0.41800311433266146</v>
      </c>
      <c r="BI42">
        <v>0.37140602390614369</v>
      </c>
      <c r="BJ42">
        <v>0.33546086576995832</v>
      </c>
      <c r="BK42">
        <v>0.33776665426681896</v>
      </c>
      <c r="EU42" t="s">
        <v>197</v>
      </c>
      <c r="EV42">
        <v>0.40228271154834588</v>
      </c>
      <c r="EW42">
        <v>0.40409068849751623</v>
      </c>
      <c r="EX42">
        <v>0.40274663563614654</v>
      </c>
      <c r="EY42">
        <v>0.38291309339356716</v>
      </c>
      <c r="EZ42">
        <v>0.35071211716199568</v>
      </c>
      <c r="FA42">
        <v>0.36185330834612572</v>
      </c>
      <c r="FB42">
        <v>0.38417459056475833</v>
      </c>
      <c r="FC42">
        <v>0.41774123659133883</v>
      </c>
      <c r="FD42">
        <v>0.42190038107379696</v>
      </c>
      <c r="FE42">
        <v>0.40993461868908682</v>
      </c>
      <c r="FF42">
        <v>0.31816927454966698</v>
      </c>
      <c r="FG42">
        <v>0.30259740449704781</v>
      </c>
      <c r="FH42">
        <v>0.2597523839905444</v>
      </c>
      <c r="FI42">
        <v>0.24851645871953287</v>
      </c>
      <c r="FJ42">
        <v>0.21564720028117793</v>
      </c>
      <c r="FK42">
        <v>0.24333643418409828</v>
      </c>
      <c r="FL42">
        <v>0.25624809796176273</v>
      </c>
      <c r="FM42">
        <v>0.27013681828020786</v>
      </c>
      <c r="FN42">
        <v>0.31923174724722458</v>
      </c>
      <c r="FO42">
        <v>0.32821810462648127</v>
      </c>
      <c r="FP42">
        <v>0.15639312458983498</v>
      </c>
      <c r="FQ42">
        <v>0.13160516936876571</v>
      </c>
      <c r="FR42">
        <v>0.10259266149976662</v>
      </c>
      <c r="FS42">
        <v>0.11785745706367182</v>
      </c>
      <c r="FT42">
        <v>9.9950304291258285E-2</v>
      </c>
      <c r="FU42">
        <v>0.12181296250968385</v>
      </c>
      <c r="FV42">
        <v>0.14357585060017197</v>
      </c>
      <c r="FW42">
        <v>0.13820394905319389</v>
      </c>
      <c r="FX42">
        <v>0.15887155404328371</v>
      </c>
      <c r="FY42">
        <v>0.17238191573471848</v>
      </c>
      <c r="FZ42">
        <v>0.29144252445883351</v>
      </c>
      <c r="GA42">
        <v>0.2682288770391299</v>
      </c>
      <c r="GB42">
        <v>0.25947039783265274</v>
      </c>
      <c r="GC42">
        <v>0.24496835106787473</v>
      </c>
      <c r="GD42">
        <v>0.2338152443900843</v>
      </c>
      <c r="GE42">
        <v>0.26091788217950934</v>
      </c>
      <c r="GF42">
        <v>0.27571525493502097</v>
      </c>
      <c r="GG42">
        <v>0.31910562113178154</v>
      </c>
      <c r="GH42">
        <v>0.34612246909851324</v>
      </c>
      <c r="GI42">
        <v>0.34515180962315667</v>
      </c>
      <c r="GK42" t="s">
        <v>207</v>
      </c>
      <c r="GL42" t="s">
        <v>221</v>
      </c>
      <c r="GM42" t="s">
        <v>222</v>
      </c>
      <c r="GN42">
        <v>0.41809991289965764</v>
      </c>
    </row>
    <row r="43" spans="22:196" x14ac:dyDescent="0.25">
      <c r="V43" t="s">
        <v>198</v>
      </c>
      <c r="W43" t="s">
        <v>31</v>
      </c>
      <c r="X43">
        <v>0.34556831985471426</v>
      </c>
      <c r="Y43">
        <v>0.33520359043286929</v>
      </c>
      <c r="Z43">
        <v>0.33205981692195841</v>
      </c>
      <c r="AA43">
        <v>0.34762747522427934</v>
      </c>
      <c r="AB43">
        <v>0.37379584510524505</v>
      </c>
      <c r="AC43">
        <v>0.37935420597974145</v>
      </c>
      <c r="AD43">
        <v>0.37528166099606519</v>
      </c>
      <c r="AE43">
        <v>0.36064633183994504</v>
      </c>
      <c r="AF43">
        <v>0.36655362871272518</v>
      </c>
      <c r="AG43">
        <v>0.36032064070896652</v>
      </c>
      <c r="AH43">
        <v>0.33154334119824841</v>
      </c>
      <c r="AI43">
        <v>0.3313290176455384</v>
      </c>
      <c r="AJ43">
        <v>0.38210693431160531</v>
      </c>
      <c r="AK43">
        <v>0.38387915326838157</v>
      </c>
      <c r="AL43">
        <v>0.40225438361891297</v>
      </c>
      <c r="AM43">
        <v>0.39826908289448393</v>
      </c>
      <c r="AN43">
        <v>0.39556580482313625</v>
      </c>
      <c r="AO43">
        <v>0.39208165067931505</v>
      </c>
      <c r="AP43">
        <v>0.34407118834380596</v>
      </c>
      <c r="AQ43">
        <v>0.32796789311546048</v>
      </c>
      <c r="AR43">
        <v>0.31947721267777757</v>
      </c>
      <c r="AS43">
        <v>0.3582335429816102</v>
      </c>
      <c r="AT43">
        <v>0.4854777219278148</v>
      </c>
      <c r="AU43">
        <v>0.4697165127675163</v>
      </c>
      <c r="AV43">
        <v>0.48064579303956706</v>
      </c>
      <c r="AW43">
        <v>0.46633701265782757</v>
      </c>
      <c r="AX43">
        <v>0.44722234900874985</v>
      </c>
      <c r="AY43">
        <v>0.44938585791272539</v>
      </c>
      <c r="AZ43">
        <v>0.39021255809084476</v>
      </c>
      <c r="BA43">
        <v>0.32687330779602658</v>
      </c>
      <c r="BB43">
        <v>0.39109306388973675</v>
      </c>
      <c r="BC43">
        <v>0.38702891282854701</v>
      </c>
      <c r="BD43">
        <v>0.4029242837615386</v>
      </c>
      <c r="BE43">
        <v>0.42815131637605902</v>
      </c>
      <c r="BF43">
        <v>0.43272653516756587</v>
      </c>
      <c r="BG43">
        <v>0.41900487949008935</v>
      </c>
      <c r="BH43">
        <v>0.40002159281128563</v>
      </c>
      <c r="BI43">
        <v>0.37778252599454609</v>
      </c>
      <c r="BJ43">
        <v>0.36947451866367864</v>
      </c>
      <c r="BK43">
        <v>0.36950872813783375</v>
      </c>
      <c r="EU43" t="s">
        <v>198</v>
      </c>
      <c r="EV43">
        <v>0.42776062269307469</v>
      </c>
      <c r="EW43">
        <v>0.43384926171676558</v>
      </c>
      <c r="EX43">
        <v>0.4354696474634735</v>
      </c>
      <c r="EY43">
        <v>0.42608039927663838</v>
      </c>
      <c r="EZ43">
        <v>0.39079655688971859</v>
      </c>
      <c r="FA43">
        <v>0.37876271572183962</v>
      </c>
      <c r="FB43">
        <v>0.39803008191640549</v>
      </c>
      <c r="FC43">
        <v>0.43051049272140035</v>
      </c>
      <c r="FD43">
        <v>0.43903101657442722</v>
      </c>
      <c r="FE43">
        <v>0.43468195800319487</v>
      </c>
      <c r="FF43">
        <v>0.34000271876552568</v>
      </c>
      <c r="FG43">
        <v>0.33088808363370442</v>
      </c>
      <c r="FH43">
        <v>0.28636297583096132</v>
      </c>
      <c r="FI43">
        <v>0.28511872989067133</v>
      </c>
      <c r="FJ43">
        <v>0.26468000527395874</v>
      </c>
      <c r="FK43">
        <v>0.30343392907757549</v>
      </c>
      <c r="FL43">
        <v>0.29748781912371686</v>
      </c>
      <c r="FM43">
        <v>0.2926981846879953</v>
      </c>
      <c r="FN43">
        <v>0.33668923718014515</v>
      </c>
      <c r="FO43">
        <v>0.35316630294887991</v>
      </c>
      <c r="FP43">
        <v>0.17764290075981104</v>
      </c>
      <c r="FQ43">
        <v>0.13592001674032617</v>
      </c>
      <c r="FR43">
        <v>0.10888796159746646</v>
      </c>
      <c r="FS43">
        <v>0.12862779136847644</v>
      </c>
      <c r="FT43">
        <v>0.11928016515521728</v>
      </c>
      <c r="FU43">
        <v>0.14977473522930118</v>
      </c>
      <c r="FV43">
        <v>0.16332702577776351</v>
      </c>
      <c r="FW43">
        <v>0.14943014301348764</v>
      </c>
      <c r="FX43">
        <v>0.16828163718078273</v>
      </c>
      <c r="FY43">
        <v>0.19747500849905203</v>
      </c>
      <c r="FZ43">
        <v>0.32359178902739477</v>
      </c>
      <c r="GA43">
        <v>0.30729881966218331</v>
      </c>
      <c r="GB43">
        <v>0.28931070535856368</v>
      </c>
      <c r="GC43">
        <v>0.26794582989273319</v>
      </c>
      <c r="GD43">
        <v>0.25388050986217009</v>
      </c>
      <c r="GE43">
        <v>0.27122293114732277</v>
      </c>
      <c r="GF43">
        <v>0.29155412221002802</v>
      </c>
      <c r="GG43">
        <v>0.31943428342827862</v>
      </c>
      <c r="GH43">
        <v>0.34278881753722001</v>
      </c>
      <c r="GI43">
        <v>0.35004243107218735</v>
      </c>
      <c r="GK43" t="s">
        <v>208</v>
      </c>
      <c r="GL43" t="s">
        <v>221</v>
      </c>
      <c r="GM43" t="s">
        <v>222</v>
      </c>
      <c r="GN43">
        <v>0.40312343922663363</v>
      </c>
    </row>
    <row r="44" spans="22:196" x14ac:dyDescent="0.25">
      <c r="V44" t="s">
        <v>199</v>
      </c>
      <c r="W44" t="s">
        <v>31</v>
      </c>
      <c r="X44">
        <v>0.31856455871073541</v>
      </c>
      <c r="Y44">
        <v>0.31274369393702584</v>
      </c>
      <c r="Z44">
        <v>0.31205769241967363</v>
      </c>
      <c r="AA44">
        <v>0.33255842154946774</v>
      </c>
      <c r="AB44">
        <v>0.35691512563241551</v>
      </c>
      <c r="AC44">
        <v>0.36044405568825028</v>
      </c>
      <c r="AD44">
        <v>0.35103609511201311</v>
      </c>
      <c r="AE44">
        <v>0.32979747931487058</v>
      </c>
      <c r="AF44">
        <v>0.3139023145558209</v>
      </c>
      <c r="AG44">
        <v>0.32034173151741402</v>
      </c>
      <c r="AH44">
        <v>0.32426130676498655</v>
      </c>
      <c r="AI44">
        <v>0.34587242792710055</v>
      </c>
      <c r="AJ44">
        <v>0.40604224860312532</v>
      </c>
      <c r="AK44">
        <v>0.41547708366543978</v>
      </c>
      <c r="AL44">
        <v>0.43072440427622344</v>
      </c>
      <c r="AM44">
        <v>0.42084035488139515</v>
      </c>
      <c r="AN44">
        <v>0.4061363264302657</v>
      </c>
      <c r="AO44">
        <v>0.37593902276247038</v>
      </c>
      <c r="AP44">
        <v>0.31907468817213241</v>
      </c>
      <c r="AQ44">
        <v>0.30663880963305379</v>
      </c>
      <c r="AR44">
        <v>0.33778320012342467</v>
      </c>
      <c r="AS44">
        <v>0.38074549695280457</v>
      </c>
      <c r="AT44">
        <v>0.45775030373138476</v>
      </c>
      <c r="AU44">
        <v>0.43680068358062762</v>
      </c>
      <c r="AV44">
        <v>0.46499234008134016</v>
      </c>
      <c r="AW44">
        <v>0.45843385648744384</v>
      </c>
      <c r="AX44">
        <v>0.4307450298435922</v>
      </c>
      <c r="AY44">
        <v>0.38468782971216858</v>
      </c>
      <c r="AZ44">
        <v>0.3470735527369489</v>
      </c>
      <c r="BA44">
        <v>0.34376896063354606</v>
      </c>
      <c r="BB44">
        <v>0.34372382444426525</v>
      </c>
      <c r="BC44">
        <v>0.34574009641306686</v>
      </c>
      <c r="BD44">
        <v>0.37399478545148906</v>
      </c>
      <c r="BE44">
        <v>0.39620639842947403</v>
      </c>
      <c r="BF44">
        <v>0.42650425026976413</v>
      </c>
      <c r="BG44">
        <v>0.42569606703678209</v>
      </c>
      <c r="BH44">
        <v>0.42540492172719474</v>
      </c>
      <c r="BI44">
        <v>0.39235510634791565</v>
      </c>
      <c r="BJ44">
        <v>0.34870097926439519</v>
      </c>
      <c r="BK44">
        <v>0.3339524377943085</v>
      </c>
      <c r="EU44" t="s">
        <v>199</v>
      </c>
      <c r="EV44">
        <v>0.44872207891483878</v>
      </c>
      <c r="EW44">
        <v>0.44918426045014792</v>
      </c>
      <c r="EX44">
        <v>0.45071739414277234</v>
      </c>
      <c r="EY44">
        <v>0.43139641130961337</v>
      </c>
      <c r="EZ44">
        <v>0.39960433579401933</v>
      </c>
      <c r="FA44">
        <v>0.40587598272292857</v>
      </c>
      <c r="FB44">
        <v>0.42665172429827292</v>
      </c>
      <c r="FC44">
        <v>0.45793127731197342</v>
      </c>
      <c r="FD44">
        <v>0.46434088205381413</v>
      </c>
      <c r="FE44">
        <v>0.45873636363944531</v>
      </c>
      <c r="FF44">
        <v>0.36378055407607052</v>
      </c>
      <c r="FG44">
        <v>0.34740908189388076</v>
      </c>
      <c r="FH44">
        <v>0.30599024724855967</v>
      </c>
      <c r="FI44">
        <v>0.29608568948781883</v>
      </c>
      <c r="FJ44">
        <v>0.26384143917047104</v>
      </c>
      <c r="FK44">
        <v>0.30130592948399548</v>
      </c>
      <c r="FL44">
        <v>0.30419541719041604</v>
      </c>
      <c r="FM44">
        <v>0.31934457047399883</v>
      </c>
      <c r="FN44">
        <v>0.37332647848676892</v>
      </c>
      <c r="FO44">
        <v>0.37736202934977464</v>
      </c>
      <c r="FP44">
        <v>0.17875635780949625</v>
      </c>
      <c r="FQ44">
        <v>0.14647026918720604</v>
      </c>
      <c r="FR44">
        <v>0.11073330583906194</v>
      </c>
      <c r="FS44">
        <v>0.12773843119572795</v>
      </c>
      <c r="FT44">
        <v>0.11365901536492319</v>
      </c>
      <c r="FU44">
        <v>0.13436430962282681</v>
      </c>
      <c r="FV44">
        <v>0.1443047997566323</v>
      </c>
      <c r="FW44">
        <v>0.13170879411017819</v>
      </c>
      <c r="FX44">
        <v>0.16205575021380964</v>
      </c>
      <c r="FY44">
        <v>0.18653815594993564</v>
      </c>
      <c r="FZ44">
        <v>0.36167663550890694</v>
      </c>
      <c r="GA44">
        <v>0.3415792721636231</v>
      </c>
      <c r="GB44">
        <v>0.31806808535689113</v>
      </c>
      <c r="GC44">
        <v>0.29792246717839699</v>
      </c>
      <c r="GD44">
        <v>0.27883791894096494</v>
      </c>
      <c r="GE44">
        <v>0.30203455227795817</v>
      </c>
      <c r="GF44">
        <v>0.32210109165174655</v>
      </c>
      <c r="GG44">
        <v>0.34604908117843014</v>
      </c>
      <c r="GH44">
        <v>0.37235723154346745</v>
      </c>
      <c r="GI44">
        <v>0.37875769486886912</v>
      </c>
      <c r="GK44" t="s">
        <v>209</v>
      </c>
      <c r="GL44" t="s">
        <v>221</v>
      </c>
      <c r="GM44" t="s">
        <v>222</v>
      </c>
      <c r="GN44">
        <v>0.42567927257543303</v>
      </c>
    </row>
    <row r="45" spans="22:196" x14ac:dyDescent="0.25">
      <c r="V45" t="s">
        <v>200</v>
      </c>
      <c r="W45" t="s">
        <v>31</v>
      </c>
      <c r="X45">
        <v>0.33268196780312415</v>
      </c>
      <c r="Y45">
        <v>0.33166380615552787</v>
      </c>
      <c r="Z45">
        <v>0.33187961934963406</v>
      </c>
      <c r="AA45">
        <v>0.34621450767817546</v>
      </c>
      <c r="AB45">
        <v>0.35055276260580576</v>
      </c>
      <c r="AC45">
        <v>0.36129845460147503</v>
      </c>
      <c r="AD45">
        <v>0.34998733000744281</v>
      </c>
      <c r="AE45">
        <v>0.32458077551587988</v>
      </c>
      <c r="AF45">
        <v>0.31500475423814606</v>
      </c>
      <c r="AG45">
        <v>0.3236697345297847</v>
      </c>
      <c r="AH45">
        <v>0.31361346929748551</v>
      </c>
      <c r="AI45">
        <v>0.31821711204589109</v>
      </c>
      <c r="AJ45">
        <v>0.36829570523237343</v>
      </c>
      <c r="AK45">
        <v>0.35822778214806916</v>
      </c>
      <c r="AL45">
        <v>0.36237924950519285</v>
      </c>
      <c r="AM45">
        <v>0.34663951511141511</v>
      </c>
      <c r="AN45">
        <v>0.35037127323647388</v>
      </c>
      <c r="AO45">
        <v>0.3642951087019794</v>
      </c>
      <c r="AP45">
        <v>0.32097679934564288</v>
      </c>
      <c r="AQ45">
        <v>0.31140911373564356</v>
      </c>
      <c r="AR45">
        <v>0.34198807633546396</v>
      </c>
      <c r="AS45">
        <v>0.390614871543287</v>
      </c>
      <c r="AT45">
        <v>0.48240082635367493</v>
      </c>
      <c r="AU45">
        <v>0.50664513687662704</v>
      </c>
      <c r="AV45">
        <v>0.48847586858680991</v>
      </c>
      <c r="AW45">
        <v>0.46360115010977471</v>
      </c>
      <c r="AX45">
        <v>0.44085483507723694</v>
      </c>
      <c r="AY45">
        <v>0.42164350016855667</v>
      </c>
      <c r="AZ45">
        <v>0.36317006850764061</v>
      </c>
      <c r="BA45">
        <v>0.32403430481747414</v>
      </c>
      <c r="BB45">
        <v>0.38254727558696183</v>
      </c>
      <c r="BC45">
        <v>0.37348611879744348</v>
      </c>
      <c r="BD45">
        <v>0.38173510643434849</v>
      </c>
      <c r="BE45">
        <v>0.39483194221641815</v>
      </c>
      <c r="BF45">
        <v>0.3967402130092702</v>
      </c>
      <c r="BG45">
        <v>0.39129139134096574</v>
      </c>
      <c r="BH45">
        <v>0.39081340670930131</v>
      </c>
      <c r="BI45">
        <v>0.37531905207567628</v>
      </c>
      <c r="BJ45">
        <v>0.36030309588450005</v>
      </c>
      <c r="BK45">
        <v>0.35933471664395911</v>
      </c>
      <c r="EU45" t="s">
        <v>200</v>
      </c>
      <c r="EV45">
        <v>0.43678035964459799</v>
      </c>
      <c r="EW45">
        <v>0.4458094067946391</v>
      </c>
      <c r="EX45">
        <v>0.44429870750111194</v>
      </c>
      <c r="EY45">
        <v>0.43054753286937186</v>
      </c>
      <c r="EZ45">
        <v>0.39336517640070423</v>
      </c>
      <c r="FA45">
        <v>0.38580503437729557</v>
      </c>
      <c r="FB45">
        <v>0.40926597642975121</v>
      </c>
      <c r="FC45">
        <v>0.44284784139373617</v>
      </c>
      <c r="FD45">
        <v>0.45600041119842366</v>
      </c>
      <c r="FE45">
        <v>0.44781569204318128</v>
      </c>
      <c r="FF45">
        <v>0.34690052873943339</v>
      </c>
      <c r="FG45">
        <v>0.33147808467891299</v>
      </c>
      <c r="FH45">
        <v>0.28662861651177041</v>
      </c>
      <c r="FI45">
        <v>0.28074392290911321</v>
      </c>
      <c r="FJ45">
        <v>0.26232366960296799</v>
      </c>
      <c r="FK45">
        <v>0.30063482863126689</v>
      </c>
      <c r="FL45">
        <v>0.30865469757948422</v>
      </c>
      <c r="FM45">
        <v>0.31399858757038518</v>
      </c>
      <c r="FN45">
        <v>0.36268728816486789</v>
      </c>
      <c r="FO45">
        <v>0.36765572639667643</v>
      </c>
      <c r="FP45">
        <v>0.18877093040908449</v>
      </c>
      <c r="FQ45">
        <v>0.1607731284032913</v>
      </c>
      <c r="FR45">
        <v>0.13907920985197911</v>
      </c>
      <c r="FS45">
        <v>0.15308545877408353</v>
      </c>
      <c r="FT45">
        <v>0.14376930756369469</v>
      </c>
      <c r="FU45">
        <v>0.17915972318746465</v>
      </c>
      <c r="FV45">
        <v>0.19715870673852759</v>
      </c>
      <c r="FW45">
        <v>0.18388412999239487</v>
      </c>
      <c r="FX45">
        <v>0.18981877981262002</v>
      </c>
      <c r="FY45">
        <v>0.20936313593327957</v>
      </c>
      <c r="FZ45">
        <v>0.33868890775280058</v>
      </c>
      <c r="GA45">
        <v>0.32914444371967927</v>
      </c>
      <c r="GB45">
        <v>0.31770192754350651</v>
      </c>
      <c r="GC45">
        <v>0.30775787756387424</v>
      </c>
      <c r="GD45">
        <v>0.28550703722836973</v>
      </c>
      <c r="GE45">
        <v>0.29832280511679754</v>
      </c>
      <c r="GF45">
        <v>0.31723833622639513</v>
      </c>
      <c r="GG45">
        <v>0.34297814049294745</v>
      </c>
      <c r="GH45">
        <v>0.35514047977829449</v>
      </c>
      <c r="GI45">
        <v>0.35471700335714668</v>
      </c>
      <c r="GK45" t="s">
        <v>210</v>
      </c>
      <c r="GL45" t="s">
        <v>221</v>
      </c>
      <c r="GM45" t="s">
        <v>222</v>
      </c>
      <c r="GN45">
        <v>0.19754873865951125</v>
      </c>
    </row>
    <row r="46" spans="22:196" x14ac:dyDescent="0.25">
      <c r="V46" t="s">
        <v>201</v>
      </c>
      <c r="W46" t="s">
        <v>31</v>
      </c>
      <c r="X46">
        <v>0.34130129403635923</v>
      </c>
      <c r="Y46">
        <v>0.34187667123161053</v>
      </c>
      <c r="Z46">
        <v>0.34817867244191614</v>
      </c>
      <c r="AA46">
        <v>0.36423477089241219</v>
      </c>
      <c r="AB46">
        <v>0.39302002826352983</v>
      </c>
      <c r="AC46">
        <v>0.40515841365426936</v>
      </c>
      <c r="AD46">
        <v>0.38207367067442571</v>
      </c>
      <c r="AE46">
        <v>0.3497162416164683</v>
      </c>
      <c r="AF46">
        <v>0.33936544967492793</v>
      </c>
      <c r="AG46">
        <v>0.35243570776737859</v>
      </c>
      <c r="AH46">
        <v>0.29095013871995784</v>
      </c>
      <c r="AI46">
        <v>0.29318474698646668</v>
      </c>
      <c r="AJ46">
        <v>0.36017354726377759</v>
      </c>
      <c r="AK46">
        <v>0.34975111736747788</v>
      </c>
      <c r="AL46">
        <v>0.35145595695095705</v>
      </c>
      <c r="AM46">
        <v>0.36834095719512688</v>
      </c>
      <c r="AN46">
        <v>0.37418718877225987</v>
      </c>
      <c r="AO46">
        <v>0.37522021619423179</v>
      </c>
      <c r="AP46">
        <v>0.34443237341559829</v>
      </c>
      <c r="AQ46">
        <v>0.31602655684850395</v>
      </c>
      <c r="AR46">
        <v>0.34415645451470461</v>
      </c>
      <c r="AS46">
        <v>0.37448225097259163</v>
      </c>
      <c r="AT46">
        <v>0.47430770511740306</v>
      </c>
      <c r="AU46">
        <v>0.44875333638285225</v>
      </c>
      <c r="AV46">
        <v>0.44738537481125973</v>
      </c>
      <c r="AW46">
        <v>0.42378790119737919</v>
      </c>
      <c r="AX46">
        <v>0.43020298546302571</v>
      </c>
      <c r="AY46">
        <v>0.41929707724304677</v>
      </c>
      <c r="AZ46">
        <v>0.36671850252345961</v>
      </c>
      <c r="BA46">
        <v>0.34021644444003535</v>
      </c>
      <c r="BB46">
        <v>0.35168055400472253</v>
      </c>
      <c r="BC46">
        <v>0.36397191269356249</v>
      </c>
      <c r="BD46">
        <v>0.38490150712118698</v>
      </c>
      <c r="BE46">
        <v>0.40162382996121404</v>
      </c>
      <c r="BF46">
        <v>0.40028846733410361</v>
      </c>
      <c r="BG46">
        <v>0.39616707512396876</v>
      </c>
      <c r="BH46">
        <v>0.38553916185154424</v>
      </c>
      <c r="BI46">
        <v>0.34730469355978966</v>
      </c>
      <c r="BJ46">
        <v>0.33051838170587766</v>
      </c>
      <c r="BK46">
        <v>0.33880522396853707</v>
      </c>
      <c r="EU46" t="s">
        <v>201</v>
      </c>
      <c r="EV46">
        <v>0.42493129971024585</v>
      </c>
      <c r="EW46">
        <v>0.42427220087293949</v>
      </c>
      <c r="EX46">
        <v>0.43041135468670166</v>
      </c>
      <c r="EY46">
        <v>0.42229962429486667</v>
      </c>
      <c r="EZ46">
        <v>0.3845279960652499</v>
      </c>
      <c r="FA46">
        <v>0.39099608163742688</v>
      </c>
      <c r="FB46">
        <v>0.41460354421175083</v>
      </c>
      <c r="FC46">
        <v>0.44205658060160824</v>
      </c>
      <c r="FD46">
        <v>0.45153504589422699</v>
      </c>
      <c r="FE46">
        <v>0.44164260328162747</v>
      </c>
      <c r="FF46">
        <v>0.36723795015670485</v>
      </c>
      <c r="FG46">
        <v>0.356161117288396</v>
      </c>
      <c r="FH46">
        <v>0.31208840463029802</v>
      </c>
      <c r="FI46">
        <v>0.28234410426962225</v>
      </c>
      <c r="FJ46">
        <v>0.24118021040472323</v>
      </c>
      <c r="FK46">
        <v>0.27227140631109431</v>
      </c>
      <c r="FL46">
        <v>0.28760873107566615</v>
      </c>
      <c r="FM46">
        <v>0.28927390987126045</v>
      </c>
      <c r="FN46">
        <v>0.34485759977927982</v>
      </c>
      <c r="FO46">
        <v>0.37769582459723744</v>
      </c>
      <c r="FP46">
        <v>0.19132693098852341</v>
      </c>
      <c r="FQ46">
        <v>0.16850311145109192</v>
      </c>
      <c r="FR46">
        <v>0.12842556355990481</v>
      </c>
      <c r="FS46">
        <v>0.15414448817641438</v>
      </c>
      <c r="FT46">
        <v>0.13649955151030821</v>
      </c>
      <c r="FU46">
        <v>0.16884232496374199</v>
      </c>
      <c r="FV46">
        <v>0.17968840330894462</v>
      </c>
      <c r="FW46">
        <v>0.17149160321713947</v>
      </c>
      <c r="FX46">
        <v>0.1913781824464337</v>
      </c>
      <c r="FY46">
        <v>0.21898123824368315</v>
      </c>
      <c r="FZ46">
        <v>0.32892648696588039</v>
      </c>
      <c r="GA46">
        <v>0.32427281648980411</v>
      </c>
      <c r="GB46">
        <v>0.3154763744102132</v>
      </c>
      <c r="GC46">
        <v>0.29359318483142338</v>
      </c>
      <c r="GD46">
        <v>0.2929662852797934</v>
      </c>
      <c r="GE46">
        <v>0.30634967119811141</v>
      </c>
      <c r="GF46">
        <v>0.31733682998670487</v>
      </c>
      <c r="GG46">
        <v>0.35596485960444424</v>
      </c>
      <c r="GH46">
        <v>0.38383818480007686</v>
      </c>
      <c r="GI46">
        <v>0.37624684948989723</v>
      </c>
      <c r="GK46" t="s">
        <v>211</v>
      </c>
      <c r="GL46" t="s">
        <v>221</v>
      </c>
      <c r="GM46" t="s">
        <v>222</v>
      </c>
      <c r="GN46">
        <v>0.47442312295213229</v>
      </c>
    </row>
    <row r="47" spans="22:196" x14ac:dyDescent="0.25">
      <c r="V47" t="s">
        <v>202</v>
      </c>
      <c r="W47" t="s">
        <v>31</v>
      </c>
      <c r="X47">
        <v>0.34413615803827452</v>
      </c>
      <c r="Y47">
        <v>0.3294953395705213</v>
      </c>
      <c r="Z47">
        <v>0.31913544692763757</v>
      </c>
      <c r="AA47">
        <v>0.33316780831231974</v>
      </c>
      <c r="AB47">
        <v>0.34918871049361583</v>
      </c>
      <c r="AC47">
        <v>0.38583245070022681</v>
      </c>
      <c r="AD47">
        <v>0.38246468995439614</v>
      </c>
      <c r="AE47">
        <v>0.34307343690639314</v>
      </c>
      <c r="AF47">
        <v>0.33202578189006593</v>
      </c>
      <c r="AG47">
        <v>0.34045664146636173</v>
      </c>
      <c r="AH47">
        <v>0.31225642592888508</v>
      </c>
      <c r="AI47">
        <v>0.31508827783465509</v>
      </c>
      <c r="AJ47">
        <v>0.37647255799964408</v>
      </c>
      <c r="AK47">
        <v>0.38205446476817229</v>
      </c>
      <c r="AL47">
        <v>0.37633041245116111</v>
      </c>
      <c r="AM47">
        <v>0.36348797071383498</v>
      </c>
      <c r="AN47">
        <v>0.35825911834801122</v>
      </c>
      <c r="AO47">
        <v>0.36633183689200105</v>
      </c>
      <c r="AP47">
        <v>0.34154070225064387</v>
      </c>
      <c r="AQ47">
        <v>0.32227173746195109</v>
      </c>
      <c r="AR47">
        <v>0.34421752335238726</v>
      </c>
      <c r="AS47">
        <v>0.36386393087755708</v>
      </c>
      <c r="AT47">
        <v>0.47865317907834215</v>
      </c>
      <c r="AU47">
        <v>0.46876945059259378</v>
      </c>
      <c r="AV47">
        <v>0.44006886136618251</v>
      </c>
      <c r="AW47">
        <v>0.43451478516962405</v>
      </c>
      <c r="AX47">
        <v>0.42981091257728671</v>
      </c>
      <c r="AY47">
        <v>0.41285378553992996</v>
      </c>
      <c r="AZ47">
        <v>0.36145997885364234</v>
      </c>
      <c r="BA47">
        <v>0.33690450709030562</v>
      </c>
      <c r="BB47">
        <v>0.36221156560952983</v>
      </c>
      <c r="BC47">
        <v>0.3724016386763595</v>
      </c>
      <c r="BD47">
        <v>0.39936255002236493</v>
      </c>
      <c r="BE47">
        <v>0.43373877665850924</v>
      </c>
      <c r="BF47">
        <v>0.44799424755724765</v>
      </c>
      <c r="BG47">
        <v>0.41892319854250731</v>
      </c>
      <c r="BH47">
        <v>0.39892002191774789</v>
      </c>
      <c r="BI47">
        <v>0.36629971901936764</v>
      </c>
      <c r="BJ47">
        <v>0.34849728377759082</v>
      </c>
      <c r="BK47">
        <v>0.34744352228143371</v>
      </c>
      <c r="EU47" t="s">
        <v>202</v>
      </c>
      <c r="EV47">
        <v>0.44970438956906428</v>
      </c>
      <c r="EW47">
        <v>0.45412733221555168</v>
      </c>
      <c r="EX47">
        <v>0.45705101723870695</v>
      </c>
      <c r="EY47">
        <v>0.44639684684483982</v>
      </c>
      <c r="EZ47">
        <v>0.40787868164541019</v>
      </c>
      <c r="FA47">
        <v>0.39283602190508288</v>
      </c>
      <c r="FB47">
        <v>0.41136139255513388</v>
      </c>
      <c r="FC47">
        <v>0.44935143992535764</v>
      </c>
      <c r="FD47">
        <v>0.46002122913076549</v>
      </c>
      <c r="FE47">
        <v>0.4579524678356976</v>
      </c>
      <c r="FF47">
        <v>0.36905677895602601</v>
      </c>
      <c r="FG47">
        <v>0.35009775920429542</v>
      </c>
      <c r="FH47">
        <v>0.30471064802639075</v>
      </c>
      <c r="FI47">
        <v>0.29382561887433367</v>
      </c>
      <c r="FJ47">
        <v>0.27259615176153529</v>
      </c>
      <c r="FK47">
        <v>0.3044287687578287</v>
      </c>
      <c r="FL47">
        <v>0.30883062089762719</v>
      </c>
      <c r="FM47">
        <v>0.32388606268130632</v>
      </c>
      <c r="FN47">
        <v>0.36529501745062409</v>
      </c>
      <c r="FO47">
        <v>0.38132477810114096</v>
      </c>
      <c r="FP47">
        <v>0.19303422994975203</v>
      </c>
      <c r="FQ47">
        <v>0.15207145318724297</v>
      </c>
      <c r="FR47">
        <v>0.12780431597986436</v>
      </c>
      <c r="FS47">
        <v>0.14941639766935447</v>
      </c>
      <c r="FT47">
        <v>0.13053860167331099</v>
      </c>
      <c r="FU47">
        <v>0.17417580317123812</v>
      </c>
      <c r="FV47">
        <v>0.19930107880008965</v>
      </c>
      <c r="FW47">
        <v>0.18746585255876</v>
      </c>
      <c r="FX47">
        <v>0.19313726040001641</v>
      </c>
      <c r="FY47">
        <v>0.21220762188459275</v>
      </c>
      <c r="FZ47">
        <v>0.33853426282320304</v>
      </c>
      <c r="GA47">
        <v>0.31604070847899424</v>
      </c>
      <c r="GB47">
        <v>0.3025555196253969</v>
      </c>
      <c r="GC47">
        <v>0.28971626316588039</v>
      </c>
      <c r="GD47">
        <v>0.28944885461722086</v>
      </c>
      <c r="GE47">
        <v>0.2966781258486913</v>
      </c>
      <c r="GF47">
        <v>0.30813993735712053</v>
      </c>
      <c r="GG47">
        <v>0.34444000501817512</v>
      </c>
      <c r="GH47">
        <v>0.36499854263418646</v>
      </c>
      <c r="GI47">
        <v>0.36480460334718595</v>
      </c>
      <c r="GK47" t="s">
        <v>212</v>
      </c>
      <c r="GL47" t="s">
        <v>221</v>
      </c>
      <c r="GM47" t="s">
        <v>222</v>
      </c>
      <c r="GN47">
        <v>0.32984077422711283</v>
      </c>
    </row>
    <row r="48" spans="22:196" x14ac:dyDescent="0.25">
      <c r="V48" t="s">
        <v>203</v>
      </c>
      <c r="W48" t="s">
        <v>31</v>
      </c>
      <c r="X48">
        <v>0.33809022031854885</v>
      </c>
      <c r="Y48">
        <v>0.34747833213522805</v>
      </c>
      <c r="Z48">
        <v>0.34029329894391475</v>
      </c>
      <c r="AA48">
        <v>0.34769773583710267</v>
      </c>
      <c r="AB48">
        <v>0.36244624236638862</v>
      </c>
      <c r="AC48">
        <v>0.38348835573063278</v>
      </c>
      <c r="AD48">
        <v>0.36746979354708292</v>
      </c>
      <c r="AE48">
        <v>0.33073861146064271</v>
      </c>
      <c r="AF48">
        <v>0.32258485620640975</v>
      </c>
      <c r="AG48">
        <v>0.33060003161996832</v>
      </c>
      <c r="AH48">
        <v>0.32444942800220716</v>
      </c>
      <c r="AI48">
        <v>0.31752186149235123</v>
      </c>
      <c r="AJ48">
        <v>0.37518978991504487</v>
      </c>
      <c r="AK48">
        <v>0.39274733863569494</v>
      </c>
      <c r="AL48">
        <v>0.40576533356264927</v>
      </c>
      <c r="AM48">
        <v>0.38490942401729905</v>
      </c>
      <c r="AN48">
        <v>0.38038484114889654</v>
      </c>
      <c r="AO48">
        <v>0.38433666216030399</v>
      </c>
      <c r="AP48">
        <v>0.34814642903090687</v>
      </c>
      <c r="AQ48">
        <v>0.33289639155124789</v>
      </c>
      <c r="AR48">
        <v>0.38666998846848932</v>
      </c>
      <c r="AS48">
        <v>0.40871347259759833</v>
      </c>
      <c r="AT48">
        <v>0.49835590895859599</v>
      </c>
      <c r="AU48">
        <v>0.5003219917048678</v>
      </c>
      <c r="AV48">
        <v>0.47205975319792876</v>
      </c>
      <c r="AW48">
        <v>0.43904666643568713</v>
      </c>
      <c r="AX48">
        <v>0.40785791899519841</v>
      </c>
      <c r="AY48">
        <v>0.39665927030440046</v>
      </c>
      <c r="AZ48">
        <v>0.36009005753132711</v>
      </c>
      <c r="BA48">
        <v>0.37597088294359282</v>
      </c>
      <c r="BB48">
        <v>0.37727369700606533</v>
      </c>
      <c r="BC48">
        <v>0.3670978222074977</v>
      </c>
      <c r="BD48">
        <v>0.3896845966763442</v>
      </c>
      <c r="BE48">
        <v>0.41088168861518232</v>
      </c>
      <c r="BF48">
        <v>0.41867892933377104</v>
      </c>
      <c r="BG48">
        <v>0.4113697330276459</v>
      </c>
      <c r="BH48">
        <v>0.41411025507069515</v>
      </c>
      <c r="BI48">
        <v>0.38705162054078934</v>
      </c>
      <c r="BJ48">
        <v>0.36364821290007016</v>
      </c>
      <c r="BK48">
        <v>0.37166636176512957</v>
      </c>
      <c r="EU48" t="s">
        <v>203</v>
      </c>
      <c r="EV48">
        <v>0.44342620481994938</v>
      </c>
      <c r="EW48">
        <v>0.44331633339383231</v>
      </c>
      <c r="EX48">
        <v>0.43472664304488229</v>
      </c>
      <c r="EY48">
        <v>0.41841997853212676</v>
      </c>
      <c r="EZ48">
        <v>0.38506211490777359</v>
      </c>
      <c r="FA48">
        <v>0.37995937745312214</v>
      </c>
      <c r="FB48">
        <v>0.40147165210557445</v>
      </c>
      <c r="FC48">
        <v>0.44116115748839285</v>
      </c>
      <c r="FD48">
        <v>0.45636298183681789</v>
      </c>
      <c r="FE48">
        <v>0.45251886922206253</v>
      </c>
      <c r="FF48">
        <v>0.32814386188703443</v>
      </c>
      <c r="FG48">
        <v>0.30866033429594575</v>
      </c>
      <c r="FH48">
        <v>0.26854603452433323</v>
      </c>
      <c r="FI48">
        <v>0.26965999065526264</v>
      </c>
      <c r="FJ48">
        <v>0.25575992940770398</v>
      </c>
      <c r="FK48">
        <v>0.28401152566777954</v>
      </c>
      <c r="FL48">
        <v>0.28756103160684904</v>
      </c>
      <c r="FM48">
        <v>0.28564671492343663</v>
      </c>
      <c r="FN48">
        <v>0.32841891360920572</v>
      </c>
      <c r="FO48">
        <v>0.33864383126395586</v>
      </c>
      <c r="FP48">
        <v>0.1864866966569142</v>
      </c>
      <c r="FQ48">
        <v>0.16962751244145829</v>
      </c>
      <c r="FR48">
        <v>0.15077193993602797</v>
      </c>
      <c r="FS48">
        <v>0.16378708138761236</v>
      </c>
      <c r="FT48">
        <v>0.15392175821020301</v>
      </c>
      <c r="FU48">
        <v>0.1864160459470714</v>
      </c>
      <c r="FV48">
        <v>0.21335258013450117</v>
      </c>
      <c r="FW48">
        <v>0.18993950868848408</v>
      </c>
      <c r="FX48">
        <v>0.18236584602853204</v>
      </c>
      <c r="FY48">
        <v>0.19295749107054846</v>
      </c>
      <c r="FZ48">
        <v>0.34629045400274444</v>
      </c>
      <c r="GA48">
        <v>0.33183242967826987</v>
      </c>
      <c r="GB48">
        <v>0.31780012458612333</v>
      </c>
      <c r="GC48">
        <v>0.30958205312962855</v>
      </c>
      <c r="GD48">
        <v>0.30017649369919391</v>
      </c>
      <c r="GE48">
        <v>0.30730539528314921</v>
      </c>
      <c r="GF48">
        <v>0.3156391566661918</v>
      </c>
      <c r="GG48">
        <v>0.34171663491376214</v>
      </c>
      <c r="GH48">
        <v>0.35759100096874774</v>
      </c>
      <c r="GI48">
        <v>0.36133874790720272</v>
      </c>
      <c r="GK48" t="s">
        <v>213</v>
      </c>
      <c r="GL48" t="s">
        <v>221</v>
      </c>
      <c r="GM48" t="s">
        <v>222</v>
      </c>
      <c r="GN48">
        <v>0.34467900865212608</v>
      </c>
    </row>
    <row r="49" spans="22:196" x14ac:dyDescent="0.25">
      <c r="V49" t="s">
        <v>204</v>
      </c>
      <c r="W49" t="s">
        <v>31</v>
      </c>
      <c r="X49">
        <v>0.33709374119845265</v>
      </c>
      <c r="Y49">
        <v>0.34715924478156585</v>
      </c>
      <c r="Z49">
        <v>0.33810466743421774</v>
      </c>
      <c r="AA49">
        <v>0.33920155328215784</v>
      </c>
      <c r="AB49">
        <v>0.35139048963455283</v>
      </c>
      <c r="AC49">
        <v>0.36014742362951696</v>
      </c>
      <c r="AD49">
        <v>0.34899838131688488</v>
      </c>
      <c r="AE49">
        <v>0.32656071899309358</v>
      </c>
      <c r="AF49">
        <v>0.32896294579505025</v>
      </c>
      <c r="AG49">
        <v>0.33569202079111593</v>
      </c>
      <c r="AH49">
        <v>0.31957675613945863</v>
      </c>
      <c r="AI49">
        <v>0.31535413433496173</v>
      </c>
      <c r="AJ49">
        <v>0.36843063659828773</v>
      </c>
      <c r="AK49">
        <v>0.3801742916973721</v>
      </c>
      <c r="AL49">
        <v>0.39916575674522531</v>
      </c>
      <c r="AM49">
        <v>0.38287991900656249</v>
      </c>
      <c r="AN49">
        <v>0.36446144349167181</v>
      </c>
      <c r="AO49">
        <v>0.36407435091616419</v>
      </c>
      <c r="AP49">
        <v>0.32624532514546312</v>
      </c>
      <c r="AQ49">
        <v>0.3171573186487886</v>
      </c>
      <c r="AR49">
        <v>0.40332850103587947</v>
      </c>
      <c r="AS49">
        <v>0.40356519236296862</v>
      </c>
      <c r="AT49">
        <v>0.50647201454102186</v>
      </c>
      <c r="AU49">
        <v>0.47840878527602249</v>
      </c>
      <c r="AV49">
        <v>0.46392581641652897</v>
      </c>
      <c r="AW49">
        <v>0.4482719936976664</v>
      </c>
      <c r="AX49">
        <v>0.44201715216167198</v>
      </c>
      <c r="AY49">
        <v>0.43711060707486249</v>
      </c>
      <c r="AZ49">
        <v>0.3967279695319314</v>
      </c>
      <c r="BA49">
        <v>0.38854254514046799</v>
      </c>
      <c r="BB49">
        <v>0.34836616137137205</v>
      </c>
      <c r="BC49">
        <v>0.35448642783639067</v>
      </c>
      <c r="BD49">
        <v>0.37979168841611777</v>
      </c>
      <c r="BE49">
        <v>0.41067644719890667</v>
      </c>
      <c r="BF49">
        <v>0.4266217652020583</v>
      </c>
      <c r="BG49">
        <v>0.42150950726777847</v>
      </c>
      <c r="BH49">
        <v>0.4196367581740601</v>
      </c>
      <c r="BI49">
        <v>0.37993771800915427</v>
      </c>
      <c r="BJ49">
        <v>0.3400024056996262</v>
      </c>
      <c r="BK49">
        <v>0.33621232355851666</v>
      </c>
      <c r="EU49" t="s">
        <v>204</v>
      </c>
      <c r="EV49">
        <v>0.46287561332464522</v>
      </c>
      <c r="EW49">
        <v>0.45463361730695484</v>
      </c>
      <c r="EX49">
        <v>0.46161838641992403</v>
      </c>
      <c r="EY49">
        <v>0.45819895408147332</v>
      </c>
      <c r="EZ49">
        <v>0.4218703594396383</v>
      </c>
      <c r="FA49">
        <v>0.42218838112392398</v>
      </c>
      <c r="FB49">
        <v>0.43981308543097231</v>
      </c>
      <c r="FC49">
        <v>0.46813096866514348</v>
      </c>
      <c r="FD49">
        <v>0.47622609774524721</v>
      </c>
      <c r="FE49">
        <v>0.47473349628703354</v>
      </c>
      <c r="FF49">
        <v>0.35324580255418475</v>
      </c>
      <c r="FG49">
        <v>0.34528530601834506</v>
      </c>
      <c r="FH49">
        <v>0.2917440705698176</v>
      </c>
      <c r="FI49">
        <v>0.279045880830599</v>
      </c>
      <c r="FJ49">
        <v>0.26944095326246909</v>
      </c>
      <c r="FK49">
        <v>0.29648285714518624</v>
      </c>
      <c r="FL49">
        <v>0.29592758867137919</v>
      </c>
      <c r="FM49">
        <v>0.30883599371263548</v>
      </c>
      <c r="FN49">
        <v>0.34802180218285389</v>
      </c>
      <c r="FO49">
        <v>0.36889454899790514</v>
      </c>
      <c r="FP49">
        <v>0.20146354110337486</v>
      </c>
      <c r="FQ49">
        <v>0.18304204355300288</v>
      </c>
      <c r="FR49">
        <v>0.16169098021620434</v>
      </c>
      <c r="FS49">
        <v>0.17822496713785008</v>
      </c>
      <c r="FT49">
        <v>0.16863288302152429</v>
      </c>
      <c r="FU49">
        <v>0.2169986716509637</v>
      </c>
      <c r="FV49">
        <v>0.22852751002495406</v>
      </c>
      <c r="FW49">
        <v>0.20295365843172303</v>
      </c>
      <c r="FX49">
        <v>0.20598271063558965</v>
      </c>
      <c r="FY49">
        <v>0.20943502411948217</v>
      </c>
      <c r="FZ49">
        <v>0.36750302597089918</v>
      </c>
      <c r="GA49">
        <v>0.35527286541459019</v>
      </c>
      <c r="GB49">
        <v>0.3410178343909242</v>
      </c>
      <c r="GC49">
        <v>0.33782920131777106</v>
      </c>
      <c r="GD49">
        <v>0.32750988567412131</v>
      </c>
      <c r="GE49">
        <v>0.34048007432449828</v>
      </c>
      <c r="GF49">
        <v>0.35189796939637435</v>
      </c>
      <c r="GG49">
        <v>0.38015314310272119</v>
      </c>
      <c r="GH49">
        <v>0.39646929670293674</v>
      </c>
      <c r="GI49">
        <v>0.40081221997044914</v>
      </c>
      <c r="GK49" t="s">
        <v>214</v>
      </c>
      <c r="GL49" t="s">
        <v>221</v>
      </c>
      <c r="GM49" t="s">
        <v>222</v>
      </c>
      <c r="GN49">
        <v>0.39765897939195255</v>
      </c>
    </row>
    <row r="50" spans="22:196" x14ac:dyDescent="0.25">
      <c r="V50" t="s">
        <v>205</v>
      </c>
      <c r="W50" t="s">
        <v>31</v>
      </c>
      <c r="X50">
        <v>0.34758113770878113</v>
      </c>
      <c r="Y50">
        <v>0.32919722598739992</v>
      </c>
      <c r="Z50">
        <v>0.32229462509816198</v>
      </c>
      <c r="AA50">
        <v>0.32919248977184717</v>
      </c>
      <c r="AB50">
        <v>0.34055184736589572</v>
      </c>
      <c r="AC50">
        <v>0.3425462342857869</v>
      </c>
      <c r="AD50">
        <v>0.33918254541464016</v>
      </c>
      <c r="AE50">
        <v>0.31856845484988772</v>
      </c>
      <c r="AF50">
        <v>0.30922296871523663</v>
      </c>
      <c r="AG50">
        <v>0.33628576132174748</v>
      </c>
      <c r="AH50">
        <v>0.31352360683676811</v>
      </c>
      <c r="AI50">
        <v>0.31417290541036175</v>
      </c>
      <c r="AJ50">
        <v>0.34643850740775289</v>
      </c>
      <c r="AK50">
        <v>0.36642957613659999</v>
      </c>
      <c r="AL50">
        <v>0.37496881695574175</v>
      </c>
      <c r="AM50">
        <v>0.36092542402325983</v>
      </c>
      <c r="AN50">
        <v>0.35746934879432968</v>
      </c>
      <c r="AO50">
        <v>0.35331081165167944</v>
      </c>
      <c r="AP50">
        <v>0.34245838647066473</v>
      </c>
      <c r="AQ50">
        <v>0.31372002370150381</v>
      </c>
      <c r="AR50">
        <v>0.35210851032326129</v>
      </c>
      <c r="AS50">
        <v>0.36602170607373213</v>
      </c>
      <c r="AT50">
        <v>0.43138722422901049</v>
      </c>
      <c r="AU50">
        <v>0.42417830522773003</v>
      </c>
      <c r="AV50">
        <v>0.42369292651489154</v>
      </c>
      <c r="AW50">
        <v>0.42435559062118994</v>
      </c>
      <c r="AX50">
        <v>0.40365522172174573</v>
      </c>
      <c r="AY50">
        <v>0.38991379025286926</v>
      </c>
      <c r="AZ50">
        <v>0.37024464564552417</v>
      </c>
      <c r="BA50">
        <v>0.36798291247378651</v>
      </c>
      <c r="BB50">
        <v>0.3147201463125171</v>
      </c>
      <c r="BC50">
        <v>0.30658795697985641</v>
      </c>
      <c r="BD50">
        <v>0.30735756657248242</v>
      </c>
      <c r="BE50">
        <v>0.34968001734422627</v>
      </c>
      <c r="BF50">
        <v>0.35806331247807016</v>
      </c>
      <c r="BG50">
        <v>0.35993318074831965</v>
      </c>
      <c r="BH50">
        <v>0.36546840278056197</v>
      </c>
      <c r="BI50">
        <v>0.34241824502801804</v>
      </c>
      <c r="BJ50">
        <v>0.32804377273155744</v>
      </c>
      <c r="BK50">
        <v>0.32206522371736512</v>
      </c>
      <c r="EU50" t="s">
        <v>205</v>
      </c>
      <c r="EV50">
        <v>0.44718760134539776</v>
      </c>
      <c r="EW50">
        <v>0.46181064641904113</v>
      </c>
      <c r="EX50">
        <v>0.46892445073326178</v>
      </c>
      <c r="EY50">
        <v>0.47135711094103211</v>
      </c>
      <c r="EZ50">
        <v>0.46564740017370487</v>
      </c>
      <c r="FA50">
        <v>0.46838435969461995</v>
      </c>
      <c r="FB50">
        <v>0.4739570085795336</v>
      </c>
      <c r="FC50">
        <v>0.4918302820527376</v>
      </c>
      <c r="FD50">
        <v>0.50276485242345503</v>
      </c>
      <c r="FE50">
        <v>0.47274051092551106</v>
      </c>
      <c r="FF50">
        <v>0.38480345299836544</v>
      </c>
      <c r="FG50">
        <v>0.37438280575086125</v>
      </c>
      <c r="FH50">
        <v>0.3320773683009513</v>
      </c>
      <c r="FI50">
        <v>0.33187607506900779</v>
      </c>
      <c r="FJ50">
        <v>0.31704199287846929</v>
      </c>
      <c r="FK50">
        <v>0.34130453727407289</v>
      </c>
      <c r="FL50">
        <v>0.33905739576186611</v>
      </c>
      <c r="FM50">
        <v>0.32840843252446178</v>
      </c>
      <c r="FN50">
        <v>0.35597900530920451</v>
      </c>
      <c r="FO50">
        <v>0.38010362857732588</v>
      </c>
      <c r="FP50">
        <v>0.23520760222786014</v>
      </c>
      <c r="FQ50">
        <v>0.23709215778415449</v>
      </c>
      <c r="FR50">
        <v>0.2185758661484983</v>
      </c>
      <c r="FS50">
        <v>0.24917384883521196</v>
      </c>
      <c r="FT50">
        <v>0.23759041382395865</v>
      </c>
      <c r="FU50">
        <v>0.26776864308431431</v>
      </c>
      <c r="FV50">
        <v>0.26667209500141986</v>
      </c>
      <c r="FW50">
        <v>0.23158155932034891</v>
      </c>
      <c r="FX50">
        <v>0.20940340352252776</v>
      </c>
      <c r="FY50">
        <v>0.23386880862078108</v>
      </c>
      <c r="FZ50">
        <v>0.41506142332870283</v>
      </c>
      <c r="GA50">
        <v>0.40670448481361154</v>
      </c>
      <c r="GB50">
        <v>0.40645536506106394</v>
      </c>
      <c r="GC50">
        <v>0.40270771435190666</v>
      </c>
      <c r="GD50">
        <v>0.398163560593088</v>
      </c>
      <c r="GE50">
        <v>0.40199450698169603</v>
      </c>
      <c r="GF50">
        <v>0.39957064152057697</v>
      </c>
      <c r="GG50">
        <v>0.42009222695238363</v>
      </c>
      <c r="GH50">
        <v>0.44166214445887364</v>
      </c>
      <c r="GI50">
        <v>0.44659850533902873</v>
      </c>
      <c r="GK50" t="s">
        <v>215</v>
      </c>
      <c r="GL50" t="s">
        <v>221</v>
      </c>
      <c r="GM50" t="s">
        <v>222</v>
      </c>
      <c r="GN50">
        <v>0.4115216841857684</v>
      </c>
    </row>
    <row r="51" spans="22:196" x14ac:dyDescent="0.25">
      <c r="V51" t="s">
        <v>206</v>
      </c>
      <c r="W51" t="s">
        <v>31</v>
      </c>
      <c r="X51">
        <v>0.38427177424639619</v>
      </c>
      <c r="Y51">
        <v>0.39415223586265186</v>
      </c>
      <c r="Z51">
        <v>0.38945238875121824</v>
      </c>
      <c r="AA51">
        <v>0.40043996886433131</v>
      </c>
      <c r="AB51">
        <v>0.40576442879187696</v>
      </c>
      <c r="AC51">
        <v>0.41681406056317105</v>
      </c>
      <c r="AD51">
        <v>0.39488314402104363</v>
      </c>
      <c r="AE51">
        <v>0.36253843136413377</v>
      </c>
      <c r="AF51">
        <v>0.35041452162635672</v>
      </c>
      <c r="AG51">
        <v>0.36439249841229898</v>
      </c>
      <c r="AH51">
        <v>0.35232413498234144</v>
      </c>
      <c r="AI51">
        <v>0.37683916534076456</v>
      </c>
      <c r="AJ51">
        <v>0.42351156292675801</v>
      </c>
      <c r="AK51">
        <v>0.43418928223600878</v>
      </c>
      <c r="AL51">
        <v>0.42385803645265824</v>
      </c>
      <c r="AM51">
        <v>0.42801131482534455</v>
      </c>
      <c r="AN51">
        <v>0.39772446450960502</v>
      </c>
      <c r="AO51">
        <v>0.37910500985701828</v>
      </c>
      <c r="AP51">
        <v>0.34597707143333417</v>
      </c>
      <c r="AQ51">
        <v>0.33264108916241558</v>
      </c>
      <c r="AR51">
        <v>0.43131764181175497</v>
      </c>
      <c r="AS51">
        <v>0.45743428423339016</v>
      </c>
      <c r="AT51">
        <v>0.53022343902285451</v>
      </c>
      <c r="AU51">
        <v>0.52805839689166612</v>
      </c>
      <c r="AV51">
        <v>0.52111025677917966</v>
      </c>
      <c r="AW51">
        <v>0.48399737815112481</v>
      </c>
      <c r="AX51">
        <v>0.47473587953068341</v>
      </c>
      <c r="AY51">
        <v>0.44356969908063976</v>
      </c>
      <c r="AZ51">
        <v>0.40006845423214782</v>
      </c>
      <c r="BA51">
        <v>0.3909301608502716</v>
      </c>
      <c r="BB51">
        <v>0.36885363354799344</v>
      </c>
      <c r="BC51">
        <v>0.34100753757638858</v>
      </c>
      <c r="BD51">
        <v>0.33774265567853684</v>
      </c>
      <c r="BE51">
        <v>0.34971802846384425</v>
      </c>
      <c r="BF51">
        <v>0.37446208721310986</v>
      </c>
      <c r="BG51">
        <v>0.36812053250024157</v>
      </c>
      <c r="BH51">
        <v>0.37720537255940423</v>
      </c>
      <c r="BI51">
        <v>0.38011245131666827</v>
      </c>
      <c r="BJ51">
        <v>0.36026467817096863</v>
      </c>
      <c r="BK51">
        <v>0.36252930508700615</v>
      </c>
      <c r="EU51" t="s">
        <v>206</v>
      </c>
      <c r="EV51">
        <v>0.33514700987393431</v>
      </c>
      <c r="EW51">
        <v>0.342440131012617</v>
      </c>
      <c r="EX51">
        <v>0.35325820209349346</v>
      </c>
      <c r="EY51">
        <v>0.36865607336806522</v>
      </c>
      <c r="EZ51">
        <v>0.33608164812241381</v>
      </c>
      <c r="FA51">
        <v>0.35536811553072933</v>
      </c>
      <c r="FB51">
        <v>0.36558039271205728</v>
      </c>
      <c r="FC51">
        <v>0.38194063215509949</v>
      </c>
      <c r="FD51">
        <v>0.38556963169331088</v>
      </c>
      <c r="FE51">
        <v>0.35821741710395905</v>
      </c>
      <c r="FF51">
        <v>0.2407275564014878</v>
      </c>
      <c r="FG51">
        <v>0.22942944110526114</v>
      </c>
      <c r="FH51">
        <v>0.21531030810705315</v>
      </c>
      <c r="FI51">
        <v>0.2201528801519233</v>
      </c>
      <c r="FJ51">
        <v>0.19945271234311257</v>
      </c>
      <c r="FK51">
        <v>0.23291768591393905</v>
      </c>
      <c r="FL51">
        <v>0.23338890966955381</v>
      </c>
      <c r="FM51">
        <v>0.23017729822907987</v>
      </c>
      <c r="FN51">
        <v>0.25177626781346629</v>
      </c>
      <c r="FO51">
        <v>0.25680998789110104</v>
      </c>
      <c r="FP51">
        <v>0.17185516895950076</v>
      </c>
      <c r="FQ51">
        <v>0.1682275737424421</v>
      </c>
      <c r="FR51">
        <v>0.14145872687495159</v>
      </c>
      <c r="FS51">
        <v>0.14457918916095283</v>
      </c>
      <c r="FT51">
        <v>0.11660727282686349</v>
      </c>
      <c r="FU51">
        <v>0.13699507323943916</v>
      </c>
      <c r="FV51">
        <v>0.14210740071509081</v>
      </c>
      <c r="FW51">
        <v>0.1255775830711939</v>
      </c>
      <c r="FX51">
        <v>0.14386890874508049</v>
      </c>
      <c r="FY51">
        <v>0.16241575221765697</v>
      </c>
      <c r="FZ51">
        <v>0.30626365812239503</v>
      </c>
      <c r="GA51">
        <v>0.32867869627158963</v>
      </c>
      <c r="GB51">
        <v>0.33653479620304999</v>
      </c>
      <c r="GC51">
        <v>0.33340346447343783</v>
      </c>
      <c r="GD51">
        <v>0.28482348796313184</v>
      </c>
      <c r="GE51">
        <v>0.28435909307611568</v>
      </c>
      <c r="GF51">
        <v>0.27397927806313843</v>
      </c>
      <c r="GG51">
        <v>0.28919809832378679</v>
      </c>
      <c r="GH51">
        <v>0.31720617881901786</v>
      </c>
      <c r="GI51">
        <v>0.31813070786573605</v>
      </c>
      <c r="GK51" t="s">
        <v>186</v>
      </c>
      <c r="GL51" t="s">
        <v>221</v>
      </c>
      <c r="GM51" t="s">
        <v>222</v>
      </c>
      <c r="GN51">
        <v>0.43025632801168362</v>
      </c>
    </row>
    <row r="52" spans="22:196" x14ac:dyDescent="0.25">
      <c r="V52" t="s">
        <v>207</v>
      </c>
      <c r="W52" t="s">
        <v>31</v>
      </c>
      <c r="X52">
        <v>0.37825084437064072</v>
      </c>
      <c r="Y52">
        <v>0.37894901297050432</v>
      </c>
      <c r="Z52">
        <v>0.37702293729507091</v>
      </c>
      <c r="AA52">
        <v>0.37958728676366399</v>
      </c>
      <c r="AB52">
        <v>0.39169951470959291</v>
      </c>
      <c r="AC52">
        <v>0.39251334622555867</v>
      </c>
      <c r="AD52">
        <v>0.379413215556137</v>
      </c>
      <c r="AE52">
        <v>0.35962106037742203</v>
      </c>
      <c r="AF52">
        <v>0.35980784041687014</v>
      </c>
      <c r="AG52">
        <v>0.36730991694313891</v>
      </c>
      <c r="AH52">
        <v>0.31912124254582069</v>
      </c>
      <c r="AI52">
        <v>0.32844178286610809</v>
      </c>
      <c r="AJ52">
        <v>0.39751952260142615</v>
      </c>
      <c r="AK52">
        <v>0.43519289570141934</v>
      </c>
      <c r="AL52">
        <v>0.43270722971604192</v>
      </c>
      <c r="AM52">
        <v>0.41768805205935783</v>
      </c>
      <c r="AN52">
        <v>0.40912723647085125</v>
      </c>
      <c r="AO52">
        <v>0.39339518623679193</v>
      </c>
      <c r="AP52">
        <v>0.35134684818618894</v>
      </c>
      <c r="AQ52">
        <v>0.30617814063511783</v>
      </c>
      <c r="AR52">
        <v>0.35720494236287398</v>
      </c>
      <c r="AS52">
        <v>0.40352507420548644</v>
      </c>
      <c r="AT52">
        <v>0.51382111113970219</v>
      </c>
      <c r="AU52">
        <v>0.5152797149366537</v>
      </c>
      <c r="AV52">
        <v>0.51164866226080863</v>
      </c>
      <c r="AW52">
        <v>0.49699248542271574</v>
      </c>
      <c r="AX52">
        <v>0.4780043681612054</v>
      </c>
      <c r="AY52">
        <v>0.44982820853835331</v>
      </c>
      <c r="AZ52">
        <v>0.37344745289235537</v>
      </c>
      <c r="BA52">
        <v>0.33414501482031644</v>
      </c>
      <c r="BB52">
        <v>0.34242541961602829</v>
      </c>
      <c r="BC52">
        <v>0.30564629947502164</v>
      </c>
      <c r="BD52">
        <v>0.31289720792447795</v>
      </c>
      <c r="BE52">
        <v>0.34380566965121562</v>
      </c>
      <c r="BF52">
        <v>0.3689455787809644</v>
      </c>
      <c r="BG52">
        <v>0.3765234097225606</v>
      </c>
      <c r="BH52">
        <v>0.39042255848927665</v>
      </c>
      <c r="BI52">
        <v>0.37087226962649766</v>
      </c>
      <c r="BJ52">
        <v>0.35855848814423735</v>
      </c>
      <c r="BK52">
        <v>0.3537574743375077</v>
      </c>
      <c r="EU52" t="s">
        <v>207</v>
      </c>
      <c r="EV52">
        <v>0.37831459621502933</v>
      </c>
      <c r="EW52">
        <v>0.38913734308622178</v>
      </c>
      <c r="EX52">
        <v>0.40079229840112363</v>
      </c>
      <c r="EY52">
        <v>0.40672876479462516</v>
      </c>
      <c r="EZ52">
        <v>0.38152598191855136</v>
      </c>
      <c r="FA52">
        <v>0.38079465158043041</v>
      </c>
      <c r="FB52">
        <v>0.38236075220766258</v>
      </c>
      <c r="FC52">
        <v>0.40810043795875456</v>
      </c>
      <c r="FD52">
        <v>0.41809991289965764</v>
      </c>
      <c r="FE52">
        <v>0.39604170929523835</v>
      </c>
      <c r="FF52">
        <v>0.31858881996104682</v>
      </c>
      <c r="FG52">
        <v>0.29312117007113553</v>
      </c>
      <c r="FH52">
        <v>0.2427167009479001</v>
      </c>
      <c r="FI52">
        <v>0.21817726704401427</v>
      </c>
      <c r="FJ52">
        <v>0.21093275390052044</v>
      </c>
      <c r="FK52">
        <v>0.25356786642742224</v>
      </c>
      <c r="FL52">
        <v>0.25795305741266517</v>
      </c>
      <c r="FM52">
        <v>0.25551638628275436</v>
      </c>
      <c r="FN52">
        <v>0.29883156195716604</v>
      </c>
      <c r="FO52">
        <v>0.33096181185382584</v>
      </c>
      <c r="FP52">
        <v>0.2128186186828076</v>
      </c>
      <c r="FQ52">
        <v>0.19960170871925947</v>
      </c>
      <c r="FR52">
        <v>0.16702045764624665</v>
      </c>
      <c r="FS52">
        <v>0.18310089451255732</v>
      </c>
      <c r="FT52">
        <v>0.17069596124011713</v>
      </c>
      <c r="FU52">
        <v>0.19343231094807412</v>
      </c>
      <c r="FV52">
        <v>0.1923709104399661</v>
      </c>
      <c r="FW52">
        <v>0.17073437039978426</v>
      </c>
      <c r="FX52">
        <v>0.18361857864356523</v>
      </c>
      <c r="FY52">
        <v>0.22311680481045806</v>
      </c>
      <c r="FZ52">
        <v>0.35437096968484333</v>
      </c>
      <c r="GA52">
        <v>0.34984684064401844</v>
      </c>
      <c r="GB52">
        <v>0.34534764740779622</v>
      </c>
      <c r="GC52">
        <v>0.33195711832044822</v>
      </c>
      <c r="GD52">
        <v>0.30555885552143669</v>
      </c>
      <c r="GE52">
        <v>0.32269057022689096</v>
      </c>
      <c r="GF52">
        <v>0.33172513791648833</v>
      </c>
      <c r="GG52">
        <v>0.34903837014946759</v>
      </c>
      <c r="GH52">
        <v>0.37468000687749031</v>
      </c>
      <c r="GI52">
        <v>0.3723342670657579</v>
      </c>
      <c r="GK52" t="s">
        <v>187</v>
      </c>
      <c r="GL52" t="s">
        <v>221</v>
      </c>
      <c r="GM52" t="s">
        <v>222</v>
      </c>
      <c r="GN52">
        <v>0.62502592395840084</v>
      </c>
    </row>
    <row r="53" spans="22:196" x14ac:dyDescent="0.25">
      <c r="V53" t="s">
        <v>208</v>
      </c>
      <c r="W53" t="s">
        <v>31</v>
      </c>
      <c r="X53">
        <v>0.37653000372915207</v>
      </c>
      <c r="Y53">
        <v>0.39579615452327799</v>
      </c>
      <c r="Z53">
        <v>0.39770657105774193</v>
      </c>
      <c r="AA53">
        <v>0.41042049807742836</v>
      </c>
      <c r="AB53">
        <v>0.4297732298402101</v>
      </c>
      <c r="AC53">
        <v>0.4329909699924116</v>
      </c>
      <c r="AD53">
        <v>0.40659815132347621</v>
      </c>
      <c r="AE53">
        <v>0.37677472025578668</v>
      </c>
      <c r="AF53">
        <v>0.36058855449916638</v>
      </c>
      <c r="AG53">
        <v>0.36749790482459099</v>
      </c>
      <c r="AH53">
        <v>0.29954663824268135</v>
      </c>
      <c r="AI53">
        <v>0.32091890711116955</v>
      </c>
      <c r="AJ53">
        <v>0.39847137986898495</v>
      </c>
      <c r="AK53">
        <v>0.41745688572333378</v>
      </c>
      <c r="AL53">
        <v>0.42376485075366915</v>
      </c>
      <c r="AM53">
        <v>0.40715288002484629</v>
      </c>
      <c r="AN53">
        <v>0.38807615278805124</v>
      </c>
      <c r="AO53">
        <v>0.38300843815175273</v>
      </c>
      <c r="AP53">
        <v>0.33490819576740649</v>
      </c>
      <c r="AQ53">
        <v>0.29365733598593186</v>
      </c>
      <c r="AR53">
        <v>0.36263052511476118</v>
      </c>
      <c r="AS53">
        <v>0.42687254177238926</v>
      </c>
      <c r="AT53">
        <v>0.52416255583058147</v>
      </c>
      <c r="AU53">
        <v>0.53173071532937644</v>
      </c>
      <c r="AV53">
        <v>0.52291185998663547</v>
      </c>
      <c r="AW53">
        <v>0.48623540836218454</v>
      </c>
      <c r="AX53">
        <v>0.49576977083738827</v>
      </c>
      <c r="AY53">
        <v>0.48518415084996885</v>
      </c>
      <c r="AZ53">
        <v>0.4253408417513535</v>
      </c>
      <c r="BA53">
        <v>0.33829591111429091</v>
      </c>
      <c r="BB53">
        <v>0.35994912559466535</v>
      </c>
      <c r="BC53">
        <v>0.34895749170109669</v>
      </c>
      <c r="BD53">
        <v>0.35113940773193802</v>
      </c>
      <c r="BE53">
        <v>0.36131344171267876</v>
      </c>
      <c r="BF53">
        <v>0.37282175913930848</v>
      </c>
      <c r="BG53">
        <v>0.37386226793795119</v>
      </c>
      <c r="BH53">
        <v>0.37814423244155287</v>
      </c>
      <c r="BI53">
        <v>0.35651906234993852</v>
      </c>
      <c r="BJ53">
        <v>0.34402798107718169</v>
      </c>
      <c r="BK53">
        <v>0.35017169380739832</v>
      </c>
      <c r="EU53" t="s">
        <v>208</v>
      </c>
      <c r="EV53">
        <v>0.36242683967457173</v>
      </c>
      <c r="EW53">
        <v>0.3602611530534402</v>
      </c>
      <c r="EX53">
        <v>0.37146801280551073</v>
      </c>
      <c r="EY53">
        <v>0.37094678659399688</v>
      </c>
      <c r="EZ53">
        <v>0.34352250632921066</v>
      </c>
      <c r="FA53">
        <v>0.3584790153413997</v>
      </c>
      <c r="FB53">
        <v>0.37385357482560438</v>
      </c>
      <c r="FC53">
        <v>0.38774898801614494</v>
      </c>
      <c r="FD53">
        <v>0.40312343922663363</v>
      </c>
      <c r="FE53">
        <v>0.38651519033948312</v>
      </c>
      <c r="FF53">
        <v>0.32436401917964153</v>
      </c>
      <c r="FG53">
        <v>0.29314802400968659</v>
      </c>
      <c r="FH53">
        <v>0.24601151518990516</v>
      </c>
      <c r="FI53">
        <v>0.22588479316762497</v>
      </c>
      <c r="FJ53">
        <v>0.21862576581193152</v>
      </c>
      <c r="FK53">
        <v>0.26230662114014652</v>
      </c>
      <c r="FL53">
        <v>0.27261133435877022</v>
      </c>
      <c r="FM53">
        <v>0.26162384387749466</v>
      </c>
      <c r="FN53">
        <v>0.3061986864195006</v>
      </c>
      <c r="FO53">
        <v>0.33475075465292653</v>
      </c>
      <c r="FP53">
        <v>0.21176114483220712</v>
      </c>
      <c r="FQ53">
        <v>0.19264304244402167</v>
      </c>
      <c r="FR53">
        <v>0.1501204232553415</v>
      </c>
      <c r="FS53">
        <v>0.16544114307498395</v>
      </c>
      <c r="FT53">
        <v>0.14697263955679449</v>
      </c>
      <c r="FU53">
        <v>0.16684801255071308</v>
      </c>
      <c r="FV53">
        <v>0.17412520569777998</v>
      </c>
      <c r="FW53">
        <v>0.15300412782382372</v>
      </c>
      <c r="FX53">
        <v>0.17394788008937698</v>
      </c>
      <c r="FY53">
        <v>0.21518902065528245</v>
      </c>
      <c r="FZ53">
        <v>0.34224559421647038</v>
      </c>
      <c r="GA53">
        <v>0.33919411314036174</v>
      </c>
      <c r="GB53">
        <v>0.32965459105350081</v>
      </c>
      <c r="GC53">
        <v>0.31284761737662203</v>
      </c>
      <c r="GD53">
        <v>0.29469286538010986</v>
      </c>
      <c r="GE53">
        <v>0.30877108183260227</v>
      </c>
      <c r="GF53">
        <v>0.3121413536577875</v>
      </c>
      <c r="GG53">
        <v>0.33830102518871702</v>
      </c>
      <c r="GH53">
        <v>0.36899889510470174</v>
      </c>
      <c r="GI53">
        <v>0.36688988268672723</v>
      </c>
      <c r="GK53" t="s">
        <v>188</v>
      </c>
      <c r="GL53" t="s">
        <v>221</v>
      </c>
      <c r="GM53" t="s">
        <v>222</v>
      </c>
      <c r="GN53">
        <v>0.54747725495921484</v>
      </c>
    </row>
    <row r="54" spans="22:196" x14ac:dyDescent="0.25">
      <c r="V54" t="s">
        <v>209</v>
      </c>
      <c r="W54" t="s">
        <v>31</v>
      </c>
      <c r="X54">
        <v>0.3681267588651479</v>
      </c>
      <c r="Y54">
        <v>0.37313541649761783</v>
      </c>
      <c r="Z54">
        <v>0.36774755037942741</v>
      </c>
      <c r="AA54">
        <v>0.37116151583668511</v>
      </c>
      <c r="AB54">
        <v>0.38194674203683721</v>
      </c>
      <c r="AC54">
        <v>0.38713620772885721</v>
      </c>
      <c r="AD54">
        <v>0.37149817546790642</v>
      </c>
      <c r="AE54">
        <v>0.34207606987134243</v>
      </c>
      <c r="AF54">
        <v>0.33578958420259064</v>
      </c>
      <c r="AG54">
        <v>0.35545829490099234</v>
      </c>
      <c r="AH54">
        <v>0.30696917912032623</v>
      </c>
      <c r="AI54">
        <v>0.31525254763034338</v>
      </c>
      <c r="AJ54">
        <v>0.37517156933979873</v>
      </c>
      <c r="AK54">
        <v>0.39912239254905157</v>
      </c>
      <c r="AL54">
        <v>0.41747711277125271</v>
      </c>
      <c r="AM54">
        <v>0.40206845916149359</v>
      </c>
      <c r="AN54">
        <v>0.40152336397021515</v>
      </c>
      <c r="AO54">
        <v>0.41059172596480309</v>
      </c>
      <c r="AP54">
        <v>0.36182313749877842</v>
      </c>
      <c r="AQ54">
        <v>0.30462173725247682</v>
      </c>
      <c r="AR54">
        <v>0.36395660004031472</v>
      </c>
      <c r="AS54">
        <v>0.41866728311143714</v>
      </c>
      <c r="AT54">
        <v>0.50962733829765594</v>
      </c>
      <c r="AU54">
        <v>0.49847014029539116</v>
      </c>
      <c r="AV54">
        <v>0.47614186818414439</v>
      </c>
      <c r="AW54">
        <v>0.45882291072149028</v>
      </c>
      <c r="AX54">
        <v>0.45942263446211495</v>
      </c>
      <c r="AY54">
        <v>0.42699612269138304</v>
      </c>
      <c r="AZ54">
        <v>0.35878503646019866</v>
      </c>
      <c r="BA54">
        <v>0.32380994704833665</v>
      </c>
      <c r="BB54">
        <v>0.34950514484764333</v>
      </c>
      <c r="BC54">
        <v>0.34952854439905257</v>
      </c>
      <c r="BD54">
        <v>0.35539396221066721</v>
      </c>
      <c r="BE54">
        <v>0.37478258299069062</v>
      </c>
      <c r="BF54">
        <v>0.37513615400263522</v>
      </c>
      <c r="BG54">
        <v>0.37681710718198541</v>
      </c>
      <c r="BH54">
        <v>0.369823087758825</v>
      </c>
      <c r="BI54">
        <v>0.34981682489751348</v>
      </c>
      <c r="BJ54">
        <v>0.33489338172157601</v>
      </c>
      <c r="BK54">
        <v>0.3464243082771411</v>
      </c>
      <c r="EU54" t="s">
        <v>209</v>
      </c>
      <c r="EV54">
        <v>0.37698046749327468</v>
      </c>
      <c r="EW54">
        <v>0.38366146335170981</v>
      </c>
      <c r="EX54">
        <v>0.39183171745624529</v>
      </c>
      <c r="EY54">
        <v>0.38626029367311898</v>
      </c>
      <c r="EZ54">
        <v>0.37151958824433956</v>
      </c>
      <c r="FA54">
        <v>0.37878594227406254</v>
      </c>
      <c r="FB54">
        <v>0.38702902212757773</v>
      </c>
      <c r="FC54">
        <v>0.41323895094385787</v>
      </c>
      <c r="FD54">
        <v>0.42660827508901888</v>
      </c>
      <c r="FE54">
        <v>0.40313217322372291</v>
      </c>
      <c r="FF54">
        <v>0.33947325894660008</v>
      </c>
      <c r="FG54">
        <v>0.32891535579361714</v>
      </c>
      <c r="FH54">
        <v>0.27911193102036369</v>
      </c>
      <c r="FI54">
        <v>0.25072089214144883</v>
      </c>
      <c r="FJ54">
        <v>0.22554561320561828</v>
      </c>
      <c r="FK54">
        <v>0.26610691826033273</v>
      </c>
      <c r="FL54">
        <v>0.26758586386719152</v>
      </c>
      <c r="FM54">
        <v>0.26513452255725589</v>
      </c>
      <c r="FN54">
        <v>0.31644037841229211</v>
      </c>
      <c r="FO54">
        <v>0.34893981365226678</v>
      </c>
      <c r="FP54">
        <v>0.18605184800786614</v>
      </c>
      <c r="FQ54">
        <v>0.17705604646459033</v>
      </c>
      <c r="FR54">
        <v>0.14959008961246081</v>
      </c>
      <c r="FS54">
        <v>0.17342716813181291</v>
      </c>
      <c r="FT54">
        <v>0.16516617072230627</v>
      </c>
      <c r="FU54">
        <v>0.18927517731344415</v>
      </c>
      <c r="FV54">
        <v>0.19673434885124694</v>
      </c>
      <c r="FW54">
        <v>0.17814977529316237</v>
      </c>
      <c r="FX54">
        <v>0.19553964538023216</v>
      </c>
      <c r="FY54">
        <v>0.2139152286836456</v>
      </c>
      <c r="FZ54">
        <v>0.32943328445548237</v>
      </c>
      <c r="GA54">
        <v>0.32464789193110039</v>
      </c>
      <c r="GB54">
        <v>0.32300985117057379</v>
      </c>
      <c r="GC54">
        <v>0.30914707407964598</v>
      </c>
      <c r="GD54">
        <v>0.30904021623690137</v>
      </c>
      <c r="GE54">
        <v>0.3271278973864763</v>
      </c>
      <c r="GF54">
        <v>0.33071517842698922</v>
      </c>
      <c r="GG54">
        <v>0.36068156564114057</v>
      </c>
      <c r="GH54">
        <v>0.37947594944938884</v>
      </c>
      <c r="GI54">
        <v>0.36568558901557535</v>
      </c>
      <c r="GK54" t="s">
        <v>189</v>
      </c>
      <c r="GL54" t="s">
        <v>221</v>
      </c>
      <c r="GM54" t="s">
        <v>222</v>
      </c>
      <c r="GN54">
        <v>0.62874898827293024</v>
      </c>
    </row>
    <row r="55" spans="22:196" x14ac:dyDescent="0.25">
      <c r="V55" t="s">
        <v>210</v>
      </c>
      <c r="W55" t="s">
        <v>31</v>
      </c>
      <c r="X55">
        <v>0.48513300978361074</v>
      </c>
      <c r="Y55">
        <v>0.50283087961481721</v>
      </c>
      <c r="Z55">
        <v>0.49714295236839406</v>
      </c>
      <c r="AA55">
        <v>0.51643150861458031</v>
      </c>
      <c r="AB55">
        <v>0.50965529902594608</v>
      </c>
      <c r="AC55">
        <v>0.50214509934412643</v>
      </c>
      <c r="AD55">
        <v>0.48437277703890202</v>
      </c>
      <c r="AE55">
        <v>0.45842187105274629</v>
      </c>
      <c r="AF55">
        <v>0.46724334678271862</v>
      </c>
      <c r="AG55">
        <v>0.46946129620777566</v>
      </c>
      <c r="AH55">
        <v>0.4821994760659552</v>
      </c>
      <c r="AI55">
        <v>0.49689551409189092</v>
      </c>
      <c r="AJ55">
        <v>0.515840449554266</v>
      </c>
      <c r="AK55">
        <v>0.48928003284864763</v>
      </c>
      <c r="AL55">
        <v>0.49202741551120471</v>
      </c>
      <c r="AM55">
        <v>0.45628500119137311</v>
      </c>
      <c r="AN55">
        <v>0.43081123358410889</v>
      </c>
      <c r="AO55">
        <v>0.43000149721872472</v>
      </c>
      <c r="AP55">
        <v>0.4630600263711574</v>
      </c>
      <c r="AQ55">
        <v>0.48835662082927944</v>
      </c>
      <c r="AR55">
        <v>0.47797474736918616</v>
      </c>
      <c r="AS55">
        <v>0.53711730927504542</v>
      </c>
      <c r="AT55">
        <v>0.57194182972078678</v>
      </c>
      <c r="AU55">
        <v>0.51675503426401592</v>
      </c>
      <c r="AV55">
        <v>0.44554786325020207</v>
      </c>
      <c r="AW55">
        <v>0.38647248726291322</v>
      </c>
      <c r="AX55">
        <v>0.35416756813379308</v>
      </c>
      <c r="AY55">
        <v>0.36625717812128339</v>
      </c>
      <c r="AZ55">
        <v>0.39501755470770727</v>
      </c>
      <c r="BA55">
        <v>0.42788992424419181</v>
      </c>
      <c r="BB55">
        <v>0.47823478236449724</v>
      </c>
      <c r="BC55">
        <v>0.48422409253224818</v>
      </c>
      <c r="BD55">
        <v>0.50181151771926957</v>
      </c>
      <c r="BE55">
        <v>0.50308992509804984</v>
      </c>
      <c r="BF55">
        <v>0.5013489573118286</v>
      </c>
      <c r="BG55">
        <v>0.46388923601074222</v>
      </c>
      <c r="BH55">
        <v>0.47580280899134259</v>
      </c>
      <c r="BI55">
        <v>0.45240683292064149</v>
      </c>
      <c r="BJ55">
        <v>0.45390013090123782</v>
      </c>
      <c r="BK55">
        <v>0.45865150814146716</v>
      </c>
      <c r="EU55" t="s">
        <v>210</v>
      </c>
      <c r="EV55">
        <v>0.18702707971464577</v>
      </c>
      <c r="EW55">
        <v>0.19113709945614918</v>
      </c>
      <c r="EX55">
        <v>0.18821591812119914</v>
      </c>
      <c r="EY55">
        <v>0.18702177145808518</v>
      </c>
      <c r="EZ55">
        <v>0.17245025178659223</v>
      </c>
      <c r="FA55">
        <v>0.19027275593006909</v>
      </c>
      <c r="FB55">
        <v>0.19646417638277017</v>
      </c>
      <c r="FC55">
        <v>0.19754873865951125</v>
      </c>
      <c r="FD55">
        <v>0.19444976373414677</v>
      </c>
      <c r="FE55">
        <v>0.18190812501680573</v>
      </c>
      <c r="FF55">
        <v>0.10349922455613851</v>
      </c>
      <c r="FG55">
        <v>0.10292015004277523</v>
      </c>
      <c r="FH55">
        <v>9.8045591609673993E-2</v>
      </c>
      <c r="FI55">
        <v>0.11082346096728661</v>
      </c>
      <c r="FJ55">
        <v>0.11243897967996375</v>
      </c>
      <c r="FK55">
        <v>0.14467907882032979</v>
      </c>
      <c r="FL55">
        <v>0.1493438995514316</v>
      </c>
      <c r="FM55">
        <v>0.12978940057298594</v>
      </c>
      <c r="FN55">
        <v>0.12004131028336376</v>
      </c>
      <c r="FO55">
        <v>0.10686618797525603</v>
      </c>
      <c r="FP55">
        <v>2.9008501555605821E-2</v>
      </c>
      <c r="FQ55">
        <v>3.2769611354245526E-2</v>
      </c>
      <c r="FR55">
        <v>3.7048433854317588E-2</v>
      </c>
      <c r="FS55">
        <v>6.2890221216146291E-2</v>
      </c>
      <c r="FT55">
        <v>5.464873672423045E-2</v>
      </c>
      <c r="FU55">
        <v>7.0430239809088718E-2</v>
      </c>
      <c r="FV55">
        <v>7.977585226123847E-2</v>
      </c>
      <c r="FW55">
        <v>6.9402634372388569E-2</v>
      </c>
      <c r="FX55">
        <v>5.5060281730619332E-2</v>
      </c>
      <c r="FY55">
        <v>3.7786856342047995E-2</v>
      </c>
      <c r="FZ55">
        <v>0.11052799815145979</v>
      </c>
      <c r="GA55">
        <v>0.10817955494016507</v>
      </c>
      <c r="GB55">
        <v>0.11136709585294968</v>
      </c>
      <c r="GC55">
        <v>0.11859618879228764</v>
      </c>
      <c r="GD55">
        <v>0.12187067600160215</v>
      </c>
      <c r="GE55">
        <v>0.15331903804316918</v>
      </c>
      <c r="GF55">
        <v>0.15784885474690696</v>
      </c>
      <c r="GG55">
        <v>0.15292434366895646</v>
      </c>
      <c r="GH55">
        <v>0.14728168851563936</v>
      </c>
      <c r="GI55">
        <v>0.13337566278181401</v>
      </c>
      <c r="GK55" t="s">
        <v>190</v>
      </c>
      <c r="GL55" t="s">
        <v>221</v>
      </c>
      <c r="GM55" t="s">
        <v>222</v>
      </c>
      <c r="GN55">
        <v>0.62353904306107921</v>
      </c>
    </row>
    <row r="56" spans="22:196" x14ac:dyDescent="0.25">
      <c r="V56" t="s">
        <v>211</v>
      </c>
      <c r="W56" t="s">
        <v>31</v>
      </c>
      <c r="X56">
        <v>0.34534796490543473</v>
      </c>
      <c r="Y56">
        <v>0.34066401215585074</v>
      </c>
      <c r="Z56">
        <v>0.33359471352746961</v>
      </c>
      <c r="AA56">
        <v>0.35345228018480163</v>
      </c>
      <c r="AB56">
        <v>0.38352613144750219</v>
      </c>
      <c r="AC56">
        <v>0.38588924568327426</v>
      </c>
      <c r="AD56">
        <v>0.36216529099170747</v>
      </c>
      <c r="AE56">
        <v>0.33811200333142027</v>
      </c>
      <c r="AF56">
        <v>0.33109104945560963</v>
      </c>
      <c r="AG56">
        <v>0.33455987376516994</v>
      </c>
      <c r="AH56">
        <v>0.4165406521224832</v>
      </c>
      <c r="AI56">
        <v>0.42559797553063222</v>
      </c>
      <c r="AJ56">
        <v>0.4610859034183678</v>
      </c>
      <c r="AK56">
        <v>0.44529696472565711</v>
      </c>
      <c r="AL56">
        <v>0.48493785199010386</v>
      </c>
      <c r="AM56">
        <v>0.44665919309513474</v>
      </c>
      <c r="AN56">
        <v>0.41213732208326087</v>
      </c>
      <c r="AO56">
        <v>0.382950311560733</v>
      </c>
      <c r="AP56">
        <v>0.35982814208606412</v>
      </c>
      <c r="AQ56">
        <v>0.38448146068792272</v>
      </c>
      <c r="AR56">
        <v>0.41941552146989841</v>
      </c>
      <c r="AS56">
        <v>0.46960468731417354</v>
      </c>
      <c r="AT56">
        <v>0.50236525653785058</v>
      </c>
      <c r="AU56">
        <v>0.48721413475084829</v>
      </c>
      <c r="AV56">
        <v>0.51727298889386641</v>
      </c>
      <c r="AW56">
        <v>0.48350252335672994</v>
      </c>
      <c r="AX56">
        <v>0.41919613367924446</v>
      </c>
      <c r="AY56">
        <v>0.37731484118048486</v>
      </c>
      <c r="AZ56">
        <v>0.37220877140964959</v>
      </c>
      <c r="BA56">
        <v>0.37102693634766604</v>
      </c>
      <c r="BB56">
        <v>0.37157354000494713</v>
      </c>
      <c r="BC56">
        <v>0.38473899314760973</v>
      </c>
      <c r="BD56">
        <v>0.4117960524532705</v>
      </c>
      <c r="BE56">
        <v>0.42151887553856071</v>
      </c>
      <c r="BF56">
        <v>0.44204278514799944</v>
      </c>
      <c r="BG56">
        <v>0.43130512886127481</v>
      </c>
      <c r="BH56">
        <v>0.42481263716554163</v>
      </c>
      <c r="BI56">
        <v>0.38789580844317517</v>
      </c>
      <c r="BJ56">
        <v>0.36500007891343778</v>
      </c>
      <c r="BK56">
        <v>0.37143210786683339</v>
      </c>
      <c r="EU56" t="s">
        <v>211</v>
      </c>
      <c r="EV56">
        <v>0.44515829327051315</v>
      </c>
      <c r="EW56">
        <v>0.44581666082989668</v>
      </c>
      <c r="EX56">
        <v>0.44320665261331116</v>
      </c>
      <c r="EY56">
        <v>0.4301122006508204</v>
      </c>
      <c r="EZ56">
        <v>0.40897257718257346</v>
      </c>
      <c r="FA56">
        <v>0.42100989629693708</v>
      </c>
      <c r="FB56">
        <v>0.44229513265781167</v>
      </c>
      <c r="FC56">
        <v>0.47157106867779353</v>
      </c>
      <c r="FD56">
        <v>0.47450232556030664</v>
      </c>
      <c r="FE56">
        <v>0.45898719694701878</v>
      </c>
      <c r="FF56">
        <v>0.28251501795394712</v>
      </c>
      <c r="FG56">
        <v>0.28326603973810072</v>
      </c>
      <c r="FH56">
        <v>0.26868485530301855</v>
      </c>
      <c r="FI56">
        <v>0.27792348984554183</v>
      </c>
      <c r="FJ56">
        <v>0.24767424980125102</v>
      </c>
      <c r="FK56">
        <v>0.28184077051609407</v>
      </c>
      <c r="FL56">
        <v>0.28481585658349612</v>
      </c>
      <c r="FM56">
        <v>0.28815580086063181</v>
      </c>
      <c r="FN56">
        <v>0.30848364141912493</v>
      </c>
      <c r="FO56">
        <v>0.29046526642695375</v>
      </c>
      <c r="FP56">
        <v>0.12567751066595909</v>
      </c>
      <c r="FQ56">
        <v>0.12151578429257877</v>
      </c>
      <c r="FR56">
        <v>0.10883516039256488</v>
      </c>
      <c r="FS56">
        <v>0.12340468969758123</v>
      </c>
      <c r="FT56">
        <v>0.10672670989421659</v>
      </c>
      <c r="FU56">
        <v>0.12888778866779813</v>
      </c>
      <c r="FV56">
        <v>0.13427513338368957</v>
      </c>
      <c r="FW56">
        <v>0.12076536088474095</v>
      </c>
      <c r="FX56">
        <v>0.13754394107121143</v>
      </c>
      <c r="FY56">
        <v>0.13373718473303761</v>
      </c>
      <c r="FZ56">
        <v>0.34687435333379912</v>
      </c>
      <c r="GA56">
        <v>0.33711144236755514</v>
      </c>
      <c r="GB56">
        <v>0.33290943510875176</v>
      </c>
      <c r="GC56">
        <v>0.33700588471072002</v>
      </c>
      <c r="GD56">
        <v>0.31750896764679898</v>
      </c>
      <c r="GE56">
        <v>0.33295526221519395</v>
      </c>
      <c r="GF56">
        <v>0.33573865134652781</v>
      </c>
      <c r="GG56">
        <v>0.34430133503576937</v>
      </c>
      <c r="GH56">
        <v>0.36133227700425347</v>
      </c>
      <c r="GI56">
        <v>0.36605315084309603</v>
      </c>
      <c r="GK56" t="s">
        <v>191</v>
      </c>
      <c r="GL56" t="s">
        <v>221</v>
      </c>
      <c r="GM56" t="s">
        <v>222</v>
      </c>
      <c r="GN56">
        <v>0.61279089815627086</v>
      </c>
    </row>
    <row r="57" spans="22:196" x14ac:dyDescent="0.25">
      <c r="V57" t="s">
        <v>212</v>
      </c>
      <c r="W57" t="s">
        <v>31</v>
      </c>
      <c r="X57">
        <v>0.37303123641340186</v>
      </c>
      <c r="Y57">
        <v>0.39200561108423493</v>
      </c>
      <c r="Z57">
        <v>0.37914577456407916</v>
      </c>
      <c r="AA57">
        <v>0.39836277351877636</v>
      </c>
      <c r="AB57">
        <v>0.4221787878265158</v>
      </c>
      <c r="AC57">
        <v>0.41425064349509372</v>
      </c>
      <c r="AD57">
        <v>0.39591796406194113</v>
      </c>
      <c r="AE57">
        <v>0.36746025621849959</v>
      </c>
      <c r="AF57">
        <v>0.34514694072623814</v>
      </c>
      <c r="AG57">
        <v>0.34960608607317828</v>
      </c>
      <c r="AH57">
        <v>0.43050498152658101</v>
      </c>
      <c r="AI57">
        <v>0.4350165329888902</v>
      </c>
      <c r="AJ57">
        <v>0.47118316194823717</v>
      </c>
      <c r="AK57">
        <v>0.45381419132310724</v>
      </c>
      <c r="AL57">
        <v>0.45422450706525613</v>
      </c>
      <c r="AM57">
        <v>0.42611637658386725</v>
      </c>
      <c r="AN57">
        <v>0.39111465087630093</v>
      </c>
      <c r="AO57">
        <v>0.36194928951723032</v>
      </c>
      <c r="AP57">
        <v>0.35249196557876633</v>
      </c>
      <c r="AQ57">
        <v>0.38293830492738923</v>
      </c>
      <c r="AR57">
        <v>0.39396667591282553</v>
      </c>
      <c r="AS57">
        <v>0.45247701406506996</v>
      </c>
      <c r="AT57">
        <v>0.53312824132691639</v>
      </c>
      <c r="AU57">
        <v>0.49701532371934615</v>
      </c>
      <c r="AV57">
        <v>0.50443096125112885</v>
      </c>
      <c r="AW57">
        <v>0.46255097578417231</v>
      </c>
      <c r="AX57">
        <v>0.43344380283929279</v>
      </c>
      <c r="AY57">
        <v>0.40074986386562295</v>
      </c>
      <c r="AZ57">
        <v>0.36282615114430139</v>
      </c>
      <c r="BA57">
        <v>0.36307299028412754</v>
      </c>
      <c r="BB57">
        <v>0.38736064314133362</v>
      </c>
      <c r="BC57">
        <v>0.39141789319081294</v>
      </c>
      <c r="BD57">
        <v>0.41622697343659315</v>
      </c>
      <c r="BE57">
        <v>0.44387191326351694</v>
      </c>
      <c r="BF57">
        <v>0.45380137333700266</v>
      </c>
      <c r="BG57">
        <v>0.44576078346794273</v>
      </c>
      <c r="BH57">
        <v>0.43332483196409827</v>
      </c>
      <c r="BI57">
        <v>0.39044476270148548</v>
      </c>
      <c r="BJ57">
        <v>0.36803460379008207</v>
      </c>
      <c r="BK57">
        <v>0.37194874051737215</v>
      </c>
      <c r="EU57" t="s">
        <v>212</v>
      </c>
      <c r="EV57">
        <v>0.31491671195745696</v>
      </c>
      <c r="EW57">
        <v>0.32246542399680422</v>
      </c>
      <c r="EX57">
        <v>0.31758548234161521</v>
      </c>
      <c r="EY57">
        <v>0.30334217312555389</v>
      </c>
      <c r="EZ57">
        <v>0.27964644407073591</v>
      </c>
      <c r="FA57">
        <v>0.29146028699942028</v>
      </c>
      <c r="FB57">
        <v>0.30895066474565641</v>
      </c>
      <c r="FC57">
        <v>0.32989631782544893</v>
      </c>
      <c r="FD57">
        <v>0.32639401123961786</v>
      </c>
      <c r="FE57">
        <v>0.31317681549064313</v>
      </c>
      <c r="FF57">
        <v>0.22669618986850265</v>
      </c>
      <c r="FG57">
        <v>0.22959342514506986</v>
      </c>
      <c r="FH57">
        <v>0.21378488707494511</v>
      </c>
      <c r="FI57">
        <v>0.22103968207432792</v>
      </c>
      <c r="FJ57">
        <v>0.19642592234778819</v>
      </c>
      <c r="FK57">
        <v>0.22311040738448931</v>
      </c>
      <c r="FL57">
        <v>0.22185891963994592</v>
      </c>
      <c r="FM57">
        <v>0.22306225925173437</v>
      </c>
      <c r="FN57">
        <v>0.24287821466356757</v>
      </c>
      <c r="FO57">
        <v>0.23040711527268951</v>
      </c>
      <c r="FP57">
        <v>0.10542507695806426</v>
      </c>
      <c r="FQ57">
        <v>0.10221222667494322</v>
      </c>
      <c r="FR57">
        <v>9.7856472463045949E-2</v>
      </c>
      <c r="FS57">
        <v>0.11179339796588002</v>
      </c>
      <c r="FT57">
        <v>9.0954917104275085E-2</v>
      </c>
      <c r="FU57">
        <v>0.11099877946425681</v>
      </c>
      <c r="FV57">
        <v>0.13153313059752789</v>
      </c>
      <c r="FW57">
        <v>0.12394874405422307</v>
      </c>
      <c r="FX57">
        <v>0.12556159578718437</v>
      </c>
      <c r="FY57">
        <v>0.11718271736238374</v>
      </c>
      <c r="FZ57">
        <v>0.23373280552790479</v>
      </c>
      <c r="GA57">
        <v>0.22226058448592934</v>
      </c>
      <c r="GB57">
        <v>0.22776788524304586</v>
      </c>
      <c r="GC57">
        <v>0.22611568117049721</v>
      </c>
      <c r="GD57">
        <v>0.21753800856305963</v>
      </c>
      <c r="GE57">
        <v>0.24877831092129707</v>
      </c>
      <c r="GF57">
        <v>0.26038641483340086</v>
      </c>
      <c r="GG57">
        <v>0.28530711185986041</v>
      </c>
      <c r="GH57">
        <v>0.2954264455532809</v>
      </c>
      <c r="GI57">
        <v>0.27844335637276935</v>
      </c>
      <c r="GK57" t="s">
        <v>192</v>
      </c>
      <c r="GL57" t="s">
        <v>221</v>
      </c>
      <c r="GM57" t="s">
        <v>222</v>
      </c>
      <c r="GN57">
        <v>0.51135352647004584</v>
      </c>
    </row>
    <row r="58" spans="22:196" x14ac:dyDescent="0.25">
      <c r="V58" t="s">
        <v>213</v>
      </c>
      <c r="W58" t="s">
        <v>31</v>
      </c>
      <c r="X58">
        <v>0.38979615836833165</v>
      </c>
      <c r="Y58">
        <v>0.3969929014447986</v>
      </c>
      <c r="Z58">
        <v>0.41533012457995527</v>
      </c>
      <c r="AA58">
        <v>0.42572527896667484</v>
      </c>
      <c r="AB58">
        <v>0.43321724467787143</v>
      </c>
      <c r="AC58">
        <v>0.42953374438852421</v>
      </c>
      <c r="AD58">
        <v>0.41748661539292903</v>
      </c>
      <c r="AE58">
        <v>0.39378589637550648</v>
      </c>
      <c r="AF58">
        <v>0.37676532973066762</v>
      </c>
      <c r="AG58">
        <v>0.36888541485090603</v>
      </c>
      <c r="AH58">
        <v>0.35566152953952862</v>
      </c>
      <c r="AI58">
        <v>0.39278494410427556</v>
      </c>
      <c r="AJ58">
        <v>0.42666500119483886</v>
      </c>
      <c r="AK58">
        <v>0.43238142497477799</v>
      </c>
      <c r="AL58">
        <v>0.41965556550387922</v>
      </c>
      <c r="AM58">
        <v>0.40358749990272702</v>
      </c>
      <c r="AN58">
        <v>0.38750345369434136</v>
      </c>
      <c r="AO58">
        <v>0.38600667583711851</v>
      </c>
      <c r="AP58">
        <v>0.36875112940295479</v>
      </c>
      <c r="AQ58">
        <v>0.34717724592029137</v>
      </c>
      <c r="AR58">
        <v>0.42842583418004254</v>
      </c>
      <c r="AS58">
        <v>0.44848346000765804</v>
      </c>
      <c r="AT58">
        <v>0.49654235279372799</v>
      </c>
      <c r="AU58">
        <v>0.47077947123330549</v>
      </c>
      <c r="AV58">
        <v>0.48621153829618657</v>
      </c>
      <c r="AW58">
        <v>0.45987067210968802</v>
      </c>
      <c r="AX58">
        <v>0.42691103496057881</v>
      </c>
      <c r="AY58">
        <v>0.39086258215160469</v>
      </c>
      <c r="AZ58">
        <v>0.36984360566524055</v>
      </c>
      <c r="BA58">
        <v>0.38756011724826106</v>
      </c>
      <c r="BB58">
        <v>0.41057602272564891</v>
      </c>
      <c r="BC58">
        <v>0.39207678150215175</v>
      </c>
      <c r="BD58">
        <v>0.39535228688524049</v>
      </c>
      <c r="BE58">
        <v>0.39559153426433569</v>
      </c>
      <c r="BF58">
        <v>0.38914822041485458</v>
      </c>
      <c r="BG58">
        <v>0.36123366225335413</v>
      </c>
      <c r="BH58">
        <v>0.36829845024624353</v>
      </c>
      <c r="BI58">
        <v>0.3758587569677071</v>
      </c>
      <c r="BJ58">
        <v>0.37734862529715441</v>
      </c>
      <c r="BK58">
        <v>0.3850933026422918</v>
      </c>
      <c r="EU58" t="s">
        <v>213</v>
      </c>
      <c r="EV58">
        <v>0.3063512605179779</v>
      </c>
      <c r="EW58">
        <v>0.30885580889124559</v>
      </c>
      <c r="EX58">
        <v>0.30930642685643989</v>
      </c>
      <c r="EY58">
        <v>0.31572670670389563</v>
      </c>
      <c r="EZ58">
        <v>0.29595333923058775</v>
      </c>
      <c r="FA58">
        <v>0.31421869281432013</v>
      </c>
      <c r="FB58">
        <v>0.33090269560250568</v>
      </c>
      <c r="FC58">
        <v>0.34311302084878265</v>
      </c>
      <c r="FD58">
        <v>0.34494958044066987</v>
      </c>
      <c r="FE58">
        <v>0.32559879614313403</v>
      </c>
      <c r="FF58">
        <v>0.22742834233445106</v>
      </c>
      <c r="FG58">
        <v>0.22649267828329647</v>
      </c>
      <c r="FH58">
        <v>0.22092368883350669</v>
      </c>
      <c r="FI58">
        <v>0.24194214924555468</v>
      </c>
      <c r="FJ58">
        <v>0.22627750172536593</v>
      </c>
      <c r="FK58">
        <v>0.26010514729113843</v>
      </c>
      <c r="FL58">
        <v>0.26374197824251527</v>
      </c>
      <c r="FM58">
        <v>0.25127034222136996</v>
      </c>
      <c r="FN58">
        <v>0.26045797190801723</v>
      </c>
      <c r="FO58">
        <v>0.24446058716773286</v>
      </c>
      <c r="FP58">
        <v>0.13021953567458538</v>
      </c>
      <c r="FQ58">
        <v>0.1278822585619909</v>
      </c>
      <c r="FR58">
        <v>0.1190110034052009</v>
      </c>
      <c r="FS58">
        <v>0.13813217579693909</v>
      </c>
      <c r="FT58">
        <v>0.11841142099833915</v>
      </c>
      <c r="FU58">
        <v>0.13599731916236996</v>
      </c>
      <c r="FV58">
        <v>0.13705367104064606</v>
      </c>
      <c r="FW58">
        <v>0.12535496433575397</v>
      </c>
      <c r="FX58">
        <v>0.12686659610620415</v>
      </c>
      <c r="FY58">
        <v>0.13377343053324378</v>
      </c>
      <c r="FZ58">
        <v>0.24521863943395106</v>
      </c>
      <c r="GA58">
        <v>0.24667728842453437</v>
      </c>
      <c r="GB58">
        <v>0.26083869189378783</v>
      </c>
      <c r="GC58">
        <v>0.28581316740000307</v>
      </c>
      <c r="GD58">
        <v>0.27173095730244651</v>
      </c>
      <c r="GE58">
        <v>0.28254405029803464</v>
      </c>
      <c r="GF58">
        <v>0.2759138908235147</v>
      </c>
      <c r="GG58">
        <v>0.27868060097642222</v>
      </c>
      <c r="GH58">
        <v>0.2867200043929603</v>
      </c>
      <c r="GI58">
        <v>0.27487871546661713</v>
      </c>
      <c r="GK58" t="s">
        <v>193</v>
      </c>
      <c r="GL58" t="s">
        <v>221</v>
      </c>
      <c r="GM58" t="s">
        <v>222</v>
      </c>
      <c r="GN58">
        <v>0.64231446956063309</v>
      </c>
    </row>
    <row r="59" spans="22:196" x14ac:dyDescent="0.25">
      <c r="V59" t="s">
        <v>214</v>
      </c>
      <c r="W59" t="s">
        <v>31</v>
      </c>
      <c r="X59">
        <v>0.34836583876879523</v>
      </c>
      <c r="Y59">
        <v>0.36435292794912583</v>
      </c>
      <c r="Z59">
        <v>0.37343143819632996</v>
      </c>
      <c r="AA59">
        <v>0.39652584641719124</v>
      </c>
      <c r="AB59">
        <v>0.42061776506826321</v>
      </c>
      <c r="AC59">
        <v>0.41319489335001469</v>
      </c>
      <c r="AD59">
        <v>0.36874634055768074</v>
      </c>
      <c r="AE59">
        <v>0.33978332579664011</v>
      </c>
      <c r="AF59">
        <v>0.34590189433167845</v>
      </c>
      <c r="AG59">
        <v>0.35372018280607864</v>
      </c>
      <c r="AH59">
        <v>0.33542088886278171</v>
      </c>
      <c r="AI59">
        <v>0.3644378598201799</v>
      </c>
      <c r="AJ59">
        <v>0.4238491691318893</v>
      </c>
      <c r="AK59">
        <v>0.44200419913944433</v>
      </c>
      <c r="AL59">
        <v>0.45647414770085665</v>
      </c>
      <c r="AM59">
        <v>0.40883181379321792</v>
      </c>
      <c r="AN59">
        <v>0.37496289071119265</v>
      </c>
      <c r="AO59">
        <v>0.36653999669856463</v>
      </c>
      <c r="AP59">
        <v>0.35148538555736086</v>
      </c>
      <c r="AQ59">
        <v>0.33936054595300985</v>
      </c>
      <c r="AR59">
        <v>0.34685400549026763</v>
      </c>
      <c r="AS59">
        <v>0.4079777578236537</v>
      </c>
      <c r="AT59">
        <v>0.52818439026592356</v>
      </c>
      <c r="AU59">
        <v>0.50290989978977674</v>
      </c>
      <c r="AV59">
        <v>0.51786672453411831</v>
      </c>
      <c r="AW59">
        <v>0.47934147051968762</v>
      </c>
      <c r="AX59">
        <v>0.46107102482217632</v>
      </c>
      <c r="AY59">
        <v>0.44935044296212506</v>
      </c>
      <c r="AZ59">
        <v>0.39148458365446476</v>
      </c>
      <c r="BA59">
        <v>0.34456528544333398</v>
      </c>
      <c r="BB59">
        <v>0.37516018324757566</v>
      </c>
      <c r="BC59">
        <v>0.38847109525279161</v>
      </c>
      <c r="BD59">
        <v>0.41177313946537714</v>
      </c>
      <c r="BE59">
        <v>0.44295061983341438</v>
      </c>
      <c r="BF59">
        <v>0.45950787724364339</v>
      </c>
      <c r="BG59">
        <v>0.43287340795190082</v>
      </c>
      <c r="BH59">
        <v>0.39924902062332024</v>
      </c>
      <c r="BI59">
        <v>0.35049042257295399</v>
      </c>
      <c r="BJ59">
        <v>0.3387629861088628</v>
      </c>
      <c r="BK59">
        <v>0.3505484422884943</v>
      </c>
      <c r="EU59" t="s">
        <v>214</v>
      </c>
      <c r="EV59">
        <v>0.35633705487903167</v>
      </c>
      <c r="EW59">
        <v>0.35819099545764682</v>
      </c>
      <c r="EX59">
        <v>0.36137608105701985</v>
      </c>
      <c r="EY59">
        <v>0.35619428094869571</v>
      </c>
      <c r="EZ59">
        <v>0.33637152790398811</v>
      </c>
      <c r="FA59">
        <v>0.35141966054802914</v>
      </c>
      <c r="FB59">
        <v>0.37769733537908001</v>
      </c>
      <c r="FC59">
        <v>0.39799626585589143</v>
      </c>
      <c r="FD59">
        <v>0.39239069323382186</v>
      </c>
      <c r="FE59">
        <v>0.36683632314295889</v>
      </c>
      <c r="FF59">
        <v>0.26436955992666505</v>
      </c>
      <c r="FG59">
        <v>0.2475697797397042</v>
      </c>
      <c r="FH59">
        <v>0.20601726468743517</v>
      </c>
      <c r="FI59">
        <v>0.19841829217655729</v>
      </c>
      <c r="FJ59">
        <v>0.18540705805365676</v>
      </c>
      <c r="FK59">
        <v>0.2147476765935791</v>
      </c>
      <c r="FL59">
        <v>0.23262443682377243</v>
      </c>
      <c r="FM59">
        <v>0.23756465588568254</v>
      </c>
      <c r="FN59">
        <v>0.27250093596384273</v>
      </c>
      <c r="FO59">
        <v>0.27747886898392571</v>
      </c>
      <c r="FP59">
        <v>0.13721440150945199</v>
      </c>
      <c r="FQ59">
        <v>0.12455112759530464</v>
      </c>
      <c r="FR59">
        <v>0.10693367973180154</v>
      </c>
      <c r="FS59">
        <v>0.12424155382645866</v>
      </c>
      <c r="FT59">
        <v>0.10320366203865947</v>
      </c>
      <c r="FU59">
        <v>0.11755667082031004</v>
      </c>
      <c r="FV59">
        <v>0.13116525909865784</v>
      </c>
      <c r="FW59">
        <v>0.11992818749786362</v>
      </c>
      <c r="FX59">
        <v>0.13166217132572169</v>
      </c>
      <c r="FY59">
        <v>0.14282725853108308</v>
      </c>
      <c r="FZ59">
        <v>0.25976397155535957</v>
      </c>
      <c r="GA59">
        <v>0.25025130756674396</v>
      </c>
      <c r="GB59">
        <v>0.24491665284315045</v>
      </c>
      <c r="GC59">
        <v>0.24370595189882197</v>
      </c>
      <c r="GD59">
        <v>0.22971926789705388</v>
      </c>
      <c r="GE59">
        <v>0.2623220013690204</v>
      </c>
      <c r="GF59">
        <v>0.2813392542352417</v>
      </c>
      <c r="GG59">
        <v>0.31231400359606015</v>
      </c>
      <c r="GH59">
        <v>0.31993000709174546</v>
      </c>
      <c r="GI59">
        <v>0.30076424938417295</v>
      </c>
      <c r="GK59" t="s">
        <v>194</v>
      </c>
      <c r="GL59" t="s">
        <v>221</v>
      </c>
      <c r="GM59" t="s">
        <v>222</v>
      </c>
      <c r="GN59">
        <v>0.64206873489157001</v>
      </c>
    </row>
    <row r="60" spans="22:196" x14ac:dyDescent="0.25">
      <c r="V60" t="s">
        <v>215</v>
      </c>
      <c r="W60" t="s">
        <v>31</v>
      </c>
      <c r="X60">
        <v>0.35681754614507089</v>
      </c>
      <c r="Y60">
        <v>0.37935162926504806</v>
      </c>
      <c r="Z60">
        <v>0.37901932799100069</v>
      </c>
      <c r="AA60">
        <v>0.38480555722864745</v>
      </c>
      <c r="AB60">
        <v>0.40345014107676191</v>
      </c>
      <c r="AC60">
        <v>0.39996661801090461</v>
      </c>
      <c r="AD60">
        <v>0.38318761169955823</v>
      </c>
      <c r="AE60">
        <v>0.36930814453968119</v>
      </c>
      <c r="AF60">
        <v>0.36643365688099439</v>
      </c>
      <c r="AG60">
        <v>0.36052318234512776</v>
      </c>
      <c r="AH60">
        <v>0.33702842468745092</v>
      </c>
      <c r="AI60">
        <v>0.38247524279408462</v>
      </c>
      <c r="AJ60">
        <v>0.41812176750841062</v>
      </c>
      <c r="AK60">
        <v>0.42524540860146137</v>
      </c>
      <c r="AL60">
        <v>0.43032247526634065</v>
      </c>
      <c r="AM60">
        <v>0.3984035277991626</v>
      </c>
      <c r="AN60">
        <v>0.38774707387343421</v>
      </c>
      <c r="AO60">
        <v>0.39455805843669417</v>
      </c>
      <c r="AP60">
        <v>0.36926569075229454</v>
      </c>
      <c r="AQ60">
        <v>0.3320213644275376</v>
      </c>
      <c r="AR60">
        <v>0.38580812131852033</v>
      </c>
      <c r="AS60">
        <v>0.43816474240386594</v>
      </c>
      <c r="AT60">
        <v>0.51744978265809716</v>
      </c>
      <c r="AU60">
        <v>0.49041283406052211</v>
      </c>
      <c r="AV60">
        <v>0.48609730636623377</v>
      </c>
      <c r="AW60">
        <v>0.43769124872030329</v>
      </c>
      <c r="AX60">
        <v>0.41703742721821557</v>
      </c>
      <c r="AY60">
        <v>0.42742301576443431</v>
      </c>
      <c r="AZ60">
        <v>0.39858211468649568</v>
      </c>
      <c r="BA60">
        <v>0.36822727660922272</v>
      </c>
      <c r="BB60">
        <v>0.40114543684555709</v>
      </c>
      <c r="BC60">
        <v>0.41688613484680287</v>
      </c>
      <c r="BD60">
        <v>0.43307015808029309</v>
      </c>
      <c r="BE60">
        <v>0.44971643897728686</v>
      </c>
      <c r="BF60">
        <v>0.44308499112262079</v>
      </c>
      <c r="BG60">
        <v>0.41519167103380428</v>
      </c>
      <c r="BH60">
        <v>0.39951426384439731</v>
      </c>
      <c r="BI60">
        <v>0.36121200776947759</v>
      </c>
      <c r="BJ60">
        <v>0.34971774467721578</v>
      </c>
      <c r="BK60">
        <v>0.35609606038239666</v>
      </c>
      <c r="EU60" t="s">
        <v>215</v>
      </c>
      <c r="EV60">
        <v>0.38251890406542566</v>
      </c>
      <c r="EW60">
        <v>0.38951038135702681</v>
      </c>
      <c r="EX60">
        <v>0.39129926611693688</v>
      </c>
      <c r="EY60">
        <v>0.38269643908919637</v>
      </c>
      <c r="EZ60">
        <v>0.35408998260218494</v>
      </c>
      <c r="FA60">
        <v>0.36248984967886505</v>
      </c>
      <c r="FB60">
        <v>0.39491361608334785</v>
      </c>
      <c r="FC60">
        <v>0.41153290174427964</v>
      </c>
      <c r="FD60">
        <v>0.40605806420829665</v>
      </c>
      <c r="FE60">
        <v>0.38512904562077321</v>
      </c>
      <c r="FF60">
        <v>0.27121281056858776</v>
      </c>
      <c r="FG60">
        <v>0.24903348622829369</v>
      </c>
      <c r="FH60">
        <v>0.22593044216769917</v>
      </c>
      <c r="FI60">
        <v>0.229384857806951</v>
      </c>
      <c r="FJ60">
        <v>0.21788882903282028</v>
      </c>
      <c r="FK60">
        <v>0.24407892703047551</v>
      </c>
      <c r="FL60">
        <v>0.25333071334694113</v>
      </c>
      <c r="FM60">
        <v>0.2469868560778716</v>
      </c>
      <c r="FN60">
        <v>0.27579782238692468</v>
      </c>
      <c r="FO60">
        <v>0.28201120385099498</v>
      </c>
      <c r="FP60">
        <v>0.13164226777063848</v>
      </c>
      <c r="FQ60">
        <v>0.131509872400942</v>
      </c>
      <c r="FR60">
        <v>0.11566634952500786</v>
      </c>
      <c r="FS60">
        <v>0.13795092307607731</v>
      </c>
      <c r="FT60">
        <v>0.1114632674981908</v>
      </c>
      <c r="FU60">
        <v>0.12117246950932896</v>
      </c>
      <c r="FV60">
        <v>0.12577787572592877</v>
      </c>
      <c r="FW60">
        <v>0.11459829471193103</v>
      </c>
      <c r="FX60">
        <v>0.13054569903386087</v>
      </c>
      <c r="FY60">
        <v>0.14596166394750881</v>
      </c>
      <c r="FZ60">
        <v>0.27927502091439416</v>
      </c>
      <c r="GA60">
        <v>0.27695445115588802</v>
      </c>
      <c r="GB60">
        <v>0.27171250051985729</v>
      </c>
      <c r="GC60">
        <v>0.27228760649022471</v>
      </c>
      <c r="GD60">
        <v>0.25913436460262035</v>
      </c>
      <c r="GE60">
        <v>0.29092811061993767</v>
      </c>
      <c r="GF60">
        <v>0.289926960167387</v>
      </c>
      <c r="GG60">
        <v>0.30477813229051082</v>
      </c>
      <c r="GH60">
        <v>0.30693567507286318</v>
      </c>
      <c r="GI60">
        <v>0.29902648784583891</v>
      </c>
      <c r="GK60" t="s">
        <v>195</v>
      </c>
      <c r="GL60" t="s">
        <v>221</v>
      </c>
      <c r="GM60" t="s">
        <v>222</v>
      </c>
      <c r="GN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D508-FF1F-4B0A-8527-DC66A740F138}">
  <dimension ref="B9:J50"/>
  <sheetViews>
    <sheetView workbookViewId="0"/>
  </sheetViews>
  <sheetFormatPr defaultRowHeight="15" x14ac:dyDescent="0.25"/>
  <sheetData>
    <row r="9" spans="2:10" x14ac:dyDescent="0.2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25">
      <c r="B10" t="s">
        <v>47</v>
      </c>
      <c r="C10" t="s">
        <v>42</v>
      </c>
      <c r="D10" t="s">
        <v>41</v>
      </c>
      <c r="E10" t="s">
        <v>40</v>
      </c>
      <c r="G10" t="s">
        <v>47</v>
      </c>
      <c r="H10" t="s">
        <v>42</v>
      </c>
      <c r="I10" t="s">
        <v>41</v>
      </c>
      <c r="J10" t="s">
        <v>40</v>
      </c>
    </row>
    <row r="11" spans="2:10" x14ac:dyDescent="0.25">
      <c r="B11">
        <v>1</v>
      </c>
      <c r="C11">
        <v>1.0000000000000002</v>
      </c>
      <c r="D11" t="s">
        <v>44</v>
      </c>
      <c r="E11" t="s">
        <v>48</v>
      </c>
      <c r="G11">
        <v>5.1369863013698627E-2</v>
      </c>
      <c r="H11">
        <v>7.995425502821769E-3</v>
      </c>
      <c r="I11" t="s">
        <v>76</v>
      </c>
      <c r="J11" t="s">
        <v>48</v>
      </c>
    </row>
    <row r="12" spans="2:10" x14ac:dyDescent="0.25">
      <c r="G12">
        <v>2.0547945205479451E-2</v>
      </c>
      <c r="H12">
        <v>2.0406235238545112E-2</v>
      </c>
      <c r="I12" t="s">
        <v>78</v>
      </c>
      <c r="J12" t="s">
        <v>48</v>
      </c>
    </row>
    <row r="13" spans="2:10" x14ac:dyDescent="0.25">
      <c r="G13">
        <v>2.0547945205479451E-2</v>
      </c>
      <c r="H13">
        <v>3.0281182408074987E-2</v>
      </c>
      <c r="I13" t="s">
        <v>79</v>
      </c>
      <c r="J13" t="s">
        <v>48</v>
      </c>
    </row>
    <row r="14" spans="2:10" x14ac:dyDescent="0.25">
      <c r="G14">
        <v>2.0547945205479451E-2</v>
      </c>
      <c r="H14">
        <v>2.5686796111677408E-2</v>
      </c>
      <c r="I14" t="s">
        <v>80</v>
      </c>
      <c r="J14" t="s">
        <v>48</v>
      </c>
    </row>
    <row r="15" spans="2:10" x14ac:dyDescent="0.25">
      <c r="G15">
        <v>2.0547945205479451E-2</v>
      </c>
      <c r="H15">
        <v>2.5477960370932053E-2</v>
      </c>
      <c r="I15" t="s">
        <v>81</v>
      </c>
      <c r="J15" t="s">
        <v>48</v>
      </c>
    </row>
    <row r="16" spans="2:10" x14ac:dyDescent="0.25">
      <c r="G16">
        <v>2.0547945205479451E-2</v>
      </c>
      <c r="H16">
        <v>2.6939810556149468E-2</v>
      </c>
      <c r="I16" t="s">
        <v>82</v>
      </c>
      <c r="J16" t="s">
        <v>48</v>
      </c>
    </row>
    <row r="17" spans="7:10" x14ac:dyDescent="0.25">
      <c r="G17">
        <v>2.0547945205479451E-2</v>
      </c>
      <c r="H17">
        <v>3.5502075926708607E-2</v>
      </c>
      <c r="I17" t="s">
        <v>83</v>
      </c>
      <c r="J17" t="s">
        <v>48</v>
      </c>
    </row>
    <row r="18" spans="7:10" x14ac:dyDescent="0.25">
      <c r="G18">
        <v>2.0547945205479451E-2</v>
      </c>
      <c r="H18">
        <v>3.5502075926708607E-2</v>
      </c>
      <c r="I18" t="s">
        <v>84</v>
      </c>
      <c r="J18" t="s">
        <v>48</v>
      </c>
    </row>
    <row r="19" spans="7:10" x14ac:dyDescent="0.25">
      <c r="G19">
        <v>2.0547945205479451E-2</v>
      </c>
      <c r="H19">
        <v>2.386694179946797E-2</v>
      </c>
      <c r="I19" t="s">
        <v>85</v>
      </c>
      <c r="J19" t="s">
        <v>48</v>
      </c>
    </row>
    <row r="20" spans="7:10" x14ac:dyDescent="0.25">
      <c r="G20">
        <v>3.0821917808219176E-2</v>
      </c>
      <c r="H20">
        <v>1.4916838624667481E-2</v>
      </c>
      <c r="I20" t="s">
        <v>86</v>
      </c>
      <c r="J20" t="s">
        <v>48</v>
      </c>
    </row>
    <row r="21" spans="7:10" x14ac:dyDescent="0.25">
      <c r="G21">
        <v>5.2511415525114152E-2</v>
      </c>
      <c r="H21">
        <v>8.1731016251066976E-3</v>
      </c>
      <c r="I21" t="s">
        <v>87</v>
      </c>
      <c r="J21" t="s">
        <v>48</v>
      </c>
    </row>
    <row r="22" spans="7:10" x14ac:dyDescent="0.25">
      <c r="G22">
        <v>2.1004566210045664E-2</v>
      </c>
      <c r="H22">
        <v>2.0859707132735002E-2</v>
      </c>
      <c r="I22" t="s">
        <v>88</v>
      </c>
      <c r="J22" t="s">
        <v>48</v>
      </c>
    </row>
    <row r="23" spans="7:10" x14ac:dyDescent="0.25">
      <c r="G23">
        <v>2.1004566210045664E-2</v>
      </c>
      <c r="H23">
        <v>3.0954097572698874E-2</v>
      </c>
      <c r="I23" t="s">
        <v>89</v>
      </c>
      <c r="J23" t="s">
        <v>48</v>
      </c>
    </row>
    <row r="24" spans="7:10" x14ac:dyDescent="0.25">
      <c r="G24">
        <v>2.1004566210045664E-2</v>
      </c>
      <c r="H24">
        <v>2.6257613803048016E-2</v>
      </c>
      <c r="I24" t="s">
        <v>90</v>
      </c>
      <c r="J24" t="s">
        <v>48</v>
      </c>
    </row>
    <row r="25" spans="7:10" x14ac:dyDescent="0.25">
      <c r="G25">
        <v>2.1004566210045664E-2</v>
      </c>
      <c r="H25">
        <v>2.6044137268063879E-2</v>
      </c>
      <c r="I25" t="s">
        <v>91</v>
      </c>
      <c r="J25" t="s">
        <v>48</v>
      </c>
    </row>
    <row r="26" spans="7:10" x14ac:dyDescent="0.25">
      <c r="G26">
        <v>2.1004566210045664E-2</v>
      </c>
      <c r="H26">
        <v>2.7538473012952789E-2</v>
      </c>
      <c r="I26" t="s">
        <v>92</v>
      </c>
      <c r="J26" t="s">
        <v>48</v>
      </c>
    </row>
    <row r="27" spans="7:10" x14ac:dyDescent="0.25">
      <c r="G27">
        <v>2.1004566210045664E-2</v>
      </c>
      <c r="H27">
        <v>3.6291010947302131E-2</v>
      </c>
      <c r="I27" t="s">
        <v>93</v>
      </c>
      <c r="J27" t="s">
        <v>48</v>
      </c>
    </row>
    <row r="28" spans="7:10" x14ac:dyDescent="0.25">
      <c r="G28">
        <v>2.1004566210045664E-2</v>
      </c>
      <c r="H28">
        <v>3.6291010947302131E-2</v>
      </c>
      <c r="I28" t="s">
        <v>94</v>
      </c>
      <c r="J28" t="s">
        <v>48</v>
      </c>
    </row>
    <row r="29" spans="7:10" x14ac:dyDescent="0.25">
      <c r="G29">
        <v>2.1004566210045664E-2</v>
      </c>
      <c r="H29">
        <v>2.4397318283900592E-2</v>
      </c>
      <c r="I29" t="s">
        <v>95</v>
      </c>
      <c r="J29" t="s">
        <v>48</v>
      </c>
    </row>
    <row r="30" spans="7:10" x14ac:dyDescent="0.25">
      <c r="G30">
        <v>3.1506849315068496E-2</v>
      </c>
      <c r="H30">
        <v>1.5248323927437872E-2</v>
      </c>
      <c r="I30" t="s">
        <v>96</v>
      </c>
      <c r="J30" t="s">
        <v>48</v>
      </c>
    </row>
    <row r="31" spans="7:10" x14ac:dyDescent="0.25">
      <c r="G31">
        <v>5.2511415525114152E-2</v>
      </c>
      <c r="H31">
        <v>8.1731016251066976E-3</v>
      </c>
      <c r="I31" t="s">
        <v>97</v>
      </c>
      <c r="J31" t="s">
        <v>48</v>
      </c>
    </row>
    <row r="32" spans="7:10" x14ac:dyDescent="0.25">
      <c r="G32">
        <v>2.1004566210045664E-2</v>
      </c>
      <c r="H32">
        <v>2.0859707132735002E-2</v>
      </c>
      <c r="I32" t="s">
        <v>98</v>
      </c>
      <c r="J32" t="s">
        <v>48</v>
      </c>
    </row>
    <row r="33" spans="7:10" x14ac:dyDescent="0.25">
      <c r="G33">
        <v>2.1004566210045664E-2</v>
      </c>
      <c r="H33">
        <v>3.0954097572698874E-2</v>
      </c>
      <c r="I33" t="s">
        <v>99</v>
      </c>
      <c r="J33" t="s">
        <v>48</v>
      </c>
    </row>
    <row r="34" spans="7:10" x14ac:dyDescent="0.25">
      <c r="G34">
        <v>2.1004566210045664E-2</v>
      </c>
      <c r="H34">
        <v>2.6257613803048016E-2</v>
      </c>
      <c r="I34" t="s">
        <v>100</v>
      </c>
      <c r="J34" t="s">
        <v>48</v>
      </c>
    </row>
    <row r="35" spans="7:10" x14ac:dyDescent="0.25">
      <c r="G35">
        <v>2.1004566210045664E-2</v>
      </c>
      <c r="H35">
        <v>2.6044137268063879E-2</v>
      </c>
      <c r="I35" t="s">
        <v>101</v>
      </c>
      <c r="J35" t="s">
        <v>48</v>
      </c>
    </row>
    <row r="36" spans="7:10" x14ac:dyDescent="0.25">
      <c r="G36">
        <v>2.1004566210045664E-2</v>
      </c>
      <c r="H36">
        <v>2.7538473012952789E-2</v>
      </c>
      <c r="I36" t="s">
        <v>102</v>
      </c>
      <c r="J36" t="s">
        <v>48</v>
      </c>
    </row>
    <row r="37" spans="7:10" x14ac:dyDescent="0.25">
      <c r="G37">
        <v>2.1004566210045664E-2</v>
      </c>
      <c r="H37">
        <v>3.6291010947302131E-2</v>
      </c>
      <c r="I37" t="s">
        <v>103</v>
      </c>
      <c r="J37" t="s">
        <v>48</v>
      </c>
    </row>
    <row r="38" spans="7:10" x14ac:dyDescent="0.25">
      <c r="G38">
        <v>2.1004566210045664E-2</v>
      </c>
      <c r="H38">
        <v>3.6291010947302131E-2</v>
      </c>
      <c r="I38" t="s">
        <v>104</v>
      </c>
      <c r="J38" t="s">
        <v>48</v>
      </c>
    </row>
    <row r="39" spans="7:10" x14ac:dyDescent="0.25">
      <c r="G39">
        <v>2.1004566210045664E-2</v>
      </c>
      <c r="H39">
        <v>2.4397318283900592E-2</v>
      </c>
      <c r="I39" t="s">
        <v>105</v>
      </c>
      <c r="J39" t="s">
        <v>48</v>
      </c>
    </row>
    <row r="40" spans="7:10" x14ac:dyDescent="0.25">
      <c r="G40">
        <v>3.1506849315068496E-2</v>
      </c>
      <c r="H40">
        <v>1.5248323927437872E-2</v>
      </c>
      <c r="I40" t="s">
        <v>106</v>
      </c>
      <c r="J40" t="s">
        <v>48</v>
      </c>
    </row>
    <row r="41" spans="7:10" x14ac:dyDescent="0.25">
      <c r="G41">
        <v>5.194063926940639E-2</v>
      </c>
      <c r="H41">
        <v>8.0842635639642325E-3</v>
      </c>
      <c r="I41" t="s">
        <v>107</v>
      </c>
      <c r="J41" t="s">
        <v>48</v>
      </c>
    </row>
    <row r="42" spans="7:10" x14ac:dyDescent="0.25">
      <c r="G42">
        <v>2.0776255707762557E-2</v>
      </c>
      <c r="H42">
        <v>2.0632971185640059E-2</v>
      </c>
      <c r="I42" t="s">
        <v>108</v>
      </c>
      <c r="J42" t="s">
        <v>48</v>
      </c>
    </row>
    <row r="43" spans="7:10" x14ac:dyDescent="0.25">
      <c r="G43">
        <v>2.0776255707762557E-2</v>
      </c>
      <c r="H43">
        <v>3.0617639990386931E-2</v>
      </c>
      <c r="I43" t="s">
        <v>109</v>
      </c>
      <c r="J43" t="s">
        <v>48</v>
      </c>
    </row>
    <row r="44" spans="7:10" x14ac:dyDescent="0.25">
      <c r="G44">
        <v>2.0776255707762557E-2</v>
      </c>
      <c r="H44">
        <v>2.5972204957362712E-2</v>
      </c>
      <c r="I44" t="s">
        <v>110</v>
      </c>
      <c r="J44" t="s">
        <v>48</v>
      </c>
    </row>
    <row r="45" spans="7:10" x14ac:dyDescent="0.25">
      <c r="G45">
        <v>2.0776255707762557E-2</v>
      </c>
      <c r="H45">
        <v>2.5761048819497968E-2</v>
      </c>
      <c r="I45" t="s">
        <v>111</v>
      </c>
      <c r="J45" t="s">
        <v>48</v>
      </c>
    </row>
    <row r="46" spans="7:10" x14ac:dyDescent="0.25">
      <c r="G46">
        <v>2.0776255707762557E-2</v>
      </c>
      <c r="H46">
        <v>2.723914178455113E-2</v>
      </c>
      <c r="I46" t="s">
        <v>112</v>
      </c>
      <c r="J46" t="s">
        <v>48</v>
      </c>
    </row>
    <row r="47" spans="7:10" x14ac:dyDescent="0.25">
      <c r="G47">
        <v>2.0776255707762557E-2</v>
      </c>
      <c r="H47">
        <v>3.5896543437005365E-2</v>
      </c>
      <c r="I47" t="s">
        <v>113</v>
      </c>
      <c r="J47" t="s">
        <v>48</v>
      </c>
    </row>
    <row r="48" spans="7:10" x14ac:dyDescent="0.25">
      <c r="G48">
        <v>2.0776255707762557E-2</v>
      </c>
      <c r="H48">
        <v>3.5896543437005365E-2</v>
      </c>
      <c r="I48" t="s">
        <v>114</v>
      </c>
      <c r="J48" t="s">
        <v>48</v>
      </c>
    </row>
    <row r="49" spans="7:10" x14ac:dyDescent="0.25">
      <c r="G49">
        <v>2.0776255707762557E-2</v>
      </c>
      <c r="H49">
        <v>2.4132130041684283E-2</v>
      </c>
      <c r="I49" t="s">
        <v>115</v>
      </c>
      <c r="J49" t="s">
        <v>48</v>
      </c>
    </row>
    <row r="50" spans="7:10" x14ac:dyDescent="0.25">
      <c r="G50">
        <v>3.1164383561643836E-2</v>
      </c>
      <c r="H50">
        <v>1.5082581276052677E-2</v>
      </c>
      <c r="I50" t="s">
        <v>116</v>
      </c>
      <c r="J50" t="s">
        <v>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53089-BEB4-42D3-BC8F-B2A17AAAC3E6}">
  <dimension ref="B9:H90"/>
  <sheetViews>
    <sheetView workbookViewId="0">
      <selection activeCell="B12" sqref="B12"/>
    </sheetView>
  </sheetViews>
  <sheetFormatPr defaultRowHeight="15" x14ac:dyDescent="0.25"/>
  <sheetData>
    <row r="9" spans="2:8" x14ac:dyDescent="0.25">
      <c r="B9" t="str">
        <f>IF(A11="x","DeActivated","~TFM_DINS-AT")</f>
        <v>~TFM_DINS-AT</v>
      </c>
      <c r="F9" t="str">
        <f>IF(A11="x","DeActivated","~TFM_DINS-AT")</f>
        <v>~TFM_DINS-AT</v>
      </c>
    </row>
    <row r="10" spans="2:8" x14ac:dyDescent="0.25">
      <c r="B10" t="s">
        <v>40</v>
      </c>
      <c r="C10" t="s">
        <v>41</v>
      </c>
      <c r="D10" t="s">
        <v>42</v>
      </c>
      <c r="F10" t="s">
        <v>40</v>
      </c>
      <c r="G10" t="s">
        <v>41</v>
      </c>
      <c r="H10" t="s">
        <v>42</v>
      </c>
    </row>
    <row r="11" spans="2:8" x14ac:dyDescent="0.25">
      <c r="B11" t="s">
        <v>52</v>
      </c>
      <c r="C11" t="s">
        <v>44</v>
      </c>
      <c r="D11">
        <v>1</v>
      </c>
      <c r="F11" t="s">
        <v>52</v>
      </c>
      <c r="G11" t="s">
        <v>76</v>
      </c>
      <c r="H11">
        <v>4.1805042580203657E-2</v>
      </c>
    </row>
    <row r="12" spans="2:8" x14ac:dyDescent="0.25">
      <c r="B12" t="s">
        <v>53</v>
      </c>
      <c r="C12" t="s">
        <v>44</v>
      </c>
      <c r="D12">
        <v>1</v>
      </c>
      <c r="F12" t="s">
        <v>52</v>
      </c>
      <c r="G12" t="s">
        <v>78</v>
      </c>
      <c r="H12">
        <v>2.0547142509161259E-2</v>
      </c>
    </row>
    <row r="13" spans="2:8" x14ac:dyDescent="0.25">
      <c r="F13" t="s">
        <v>52</v>
      </c>
      <c r="G13" t="s">
        <v>79</v>
      </c>
      <c r="H13">
        <v>2.4419792332872763E-2</v>
      </c>
    </row>
    <row r="14" spans="2:8" x14ac:dyDescent="0.25">
      <c r="F14" t="s">
        <v>52</v>
      </c>
      <c r="G14" t="s">
        <v>80</v>
      </c>
      <c r="H14">
        <v>2.4691879764113828E-2</v>
      </c>
    </row>
    <row r="15" spans="2:8" x14ac:dyDescent="0.25">
      <c r="F15" t="s">
        <v>52</v>
      </c>
      <c r="G15" t="s">
        <v>81</v>
      </c>
      <c r="H15">
        <v>2.4753718696299519E-2</v>
      </c>
    </row>
    <row r="16" spans="2:8" x14ac:dyDescent="0.25">
      <c r="F16" t="s">
        <v>52</v>
      </c>
      <c r="G16" t="s">
        <v>82</v>
      </c>
      <c r="H16">
        <v>2.4756389255724216E-2</v>
      </c>
    </row>
    <row r="17" spans="6:8" x14ac:dyDescent="0.25">
      <c r="F17" t="s">
        <v>52</v>
      </c>
      <c r="G17" t="s">
        <v>83</v>
      </c>
      <c r="H17">
        <v>2.4837967105396812E-2</v>
      </c>
    </row>
    <row r="18" spans="6:8" x14ac:dyDescent="0.25">
      <c r="F18" t="s">
        <v>52</v>
      </c>
      <c r="G18" t="s">
        <v>84</v>
      </c>
      <c r="H18">
        <v>2.5101762256105387E-2</v>
      </c>
    </row>
    <row r="19" spans="6:8" x14ac:dyDescent="0.25">
      <c r="F19" t="s">
        <v>52</v>
      </c>
      <c r="G19" t="s">
        <v>85</v>
      </c>
      <c r="H19">
        <v>2.5007992722102645E-2</v>
      </c>
    </row>
    <row r="20" spans="6:8" x14ac:dyDescent="0.25">
      <c r="F20" t="s">
        <v>52</v>
      </c>
      <c r="G20" t="s">
        <v>86</v>
      </c>
      <c r="H20">
        <v>3.4805851227278889E-2</v>
      </c>
    </row>
    <row r="21" spans="6:8" x14ac:dyDescent="0.25">
      <c r="F21" t="s">
        <v>52</v>
      </c>
      <c r="G21" t="s">
        <v>87</v>
      </c>
      <c r="H21">
        <v>3.8421782830705201E-2</v>
      </c>
    </row>
    <row r="22" spans="6:8" x14ac:dyDescent="0.25">
      <c r="F22" t="s">
        <v>52</v>
      </c>
      <c r="G22" t="s">
        <v>88</v>
      </c>
      <c r="H22">
        <v>1.8466467240721377E-2</v>
      </c>
    </row>
    <row r="23" spans="6:8" x14ac:dyDescent="0.25">
      <c r="F23" t="s">
        <v>52</v>
      </c>
      <c r="G23" t="s">
        <v>89</v>
      </c>
      <c r="H23">
        <v>2.2271424188580729E-2</v>
      </c>
    </row>
    <row r="24" spans="6:8" x14ac:dyDescent="0.25">
      <c r="F24" t="s">
        <v>52</v>
      </c>
      <c r="G24" t="s">
        <v>90</v>
      </c>
      <c r="H24">
        <v>2.3686501377652987E-2</v>
      </c>
    </row>
    <row r="25" spans="6:8" x14ac:dyDescent="0.25">
      <c r="F25" t="s">
        <v>52</v>
      </c>
      <c r="G25" t="s">
        <v>91</v>
      </c>
      <c r="H25">
        <v>2.3739690019528241E-2</v>
      </c>
    </row>
    <row r="26" spans="6:8" x14ac:dyDescent="0.25">
      <c r="F26" t="s">
        <v>52</v>
      </c>
      <c r="G26" t="s">
        <v>92</v>
      </c>
      <c r="H26">
        <v>2.3709994559838386E-2</v>
      </c>
    </row>
    <row r="27" spans="6:8" x14ac:dyDescent="0.25">
      <c r="F27" t="s">
        <v>52</v>
      </c>
      <c r="G27" t="s">
        <v>93</v>
      </c>
      <c r="H27">
        <v>2.362672342067549E-2</v>
      </c>
    </row>
    <row r="28" spans="6:8" x14ac:dyDescent="0.25">
      <c r="F28" t="s">
        <v>52</v>
      </c>
      <c r="G28" t="s">
        <v>94</v>
      </c>
      <c r="H28">
        <v>2.3807692525458619E-2</v>
      </c>
    </row>
    <row r="29" spans="6:8" x14ac:dyDescent="0.25">
      <c r="F29" t="s">
        <v>52</v>
      </c>
      <c r="G29" t="s">
        <v>95</v>
      </c>
      <c r="H29">
        <v>2.3843222576935053E-2</v>
      </c>
    </row>
    <row r="30" spans="6:8" x14ac:dyDescent="0.25">
      <c r="F30" t="s">
        <v>52</v>
      </c>
      <c r="G30" t="s">
        <v>96</v>
      </c>
      <c r="H30">
        <v>3.1610701272763837E-2</v>
      </c>
    </row>
    <row r="31" spans="6:8" x14ac:dyDescent="0.25">
      <c r="F31" t="s">
        <v>52</v>
      </c>
      <c r="G31" t="s">
        <v>97</v>
      </c>
      <c r="H31">
        <v>3.4502745144093072E-2</v>
      </c>
    </row>
    <row r="32" spans="6:8" x14ac:dyDescent="0.25">
      <c r="F32" t="s">
        <v>52</v>
      </c>
      <c r="G32" t="s">
        <v>98</v>
      </c>
      <c r="H32">
        <v>1.5347891881986814E-2</v>
      </c>
    </row>
    <row r="33" spans="6:8" x14ac:dyDescent="0.25">
      <c r="F33" t="s">
        <v>52</v>
      </c>
      <c r="G33" t="s">
        <v>99</v>
      </c>
      <c r="H33">
        <v>1.9986682630508682E-2</v>
      </c>
    </row>
    <row r="34" spans="6:8" x14ac:dyDescent="0.25">
      <c r="F34" t="s">
        <v>52</v>
      </c>
      <c r="G34" t="s">
        <v>100</v>
      </c>
      <c r="H34">
        <v>2.2516476480894131E-2</v>
      </c>
    </row>
    <row r="35" spans="6:8" x14ac:dyDescent="0.25">
      <c r="F35" t="s">
        <v>52</v>
      </c>
      <c r="G35" t="s">
        <v>101</v>
      </c>
      <c r="H35">
        <v>2.2804229258905441E-2</v>
      </c>
    </row>
    <row r="36" spans="6:8" x14ac:dyDescent="0.25">
      <c r="F36" t="s">
        <v>52</v>
      </c>
      <c r="G36" t="s">
        <v>102</v>
      </c>
      <c r="H36">
        <v>2.2867006757265752E-2</v>
      </c>
    </row>
    <row r="37" spans="6:8" x14ac:dyDescent="0.25">
      <c r="F37" t="s">
        <v>52</v>
      </c>
      <c r="G37" t="s">
        <v>103</v>
      </c>
      <c r="H37">
        <v>2.2660822152987096E-2</v>
      </c>
    </row>
    <row r="38" spans="6:8" x14ac:dyDescent="0.25">
      <c r="F38" t="s">
        <v>52</v>
      </c>
      <c r="G38" t="s">
        <v>104</v>
      </c>
      <c r="H38">
        <v>2.2587488204147264E-2</v>
      </c>
    </row>
    <row r="39" spans="6:8" x14ac:dyDescent="0.25">
      <c r="F39" t="s">
        <v>52</v>
      </c>
      <c r="G39" t="s">
        <v>105</v>
      </c>
      <c r="H39">
        <v>2.2408241416674267E-2</v>
      </c>
    </row>
    <row r="40" spans="6:8" x14ac:dyDescent="0.25">
      <c r="F40" t="s">
        <v>52</v>
      </c>
      <c r="G40" t="s">
        <v>106</v>
      </c>
      <c r="H40">
        <v>2.896075075606299E-2</v>
      </c>
    </row>
    <row r="41" spans="6:8" x14ac:dyDescent="0.25">
      <c r="F41" t="s">
        <v>52</v>
      </c>
      <c r="G41" t="s">
        <v>107</v>
      </c>
      <c r="H41">
        <v>3.6748410156668861E-2</v>
      </c>
    </row>
    <row r="42" spans="6:8" x14ac:dyDescent="0.25">
      <c r="F42" t="s">
        <v>52</v>
      </c>
      <c r="G42" t="s">
        <v>108</v>
      </c>
      <c r="H42">
        <v>1.6945472900194374E-2</v>
      </c>
    </row>
    <row r="43" spans="6:8" x14ac:dyDescent="0.25">
      <c r="F43" t="s">
        <v>52</v>
      </c>
      <c r="G43" t="s">
        <v>109</v>
      </c>
      <c r="H43">
        <v>2.1015453843135263E-2</v>
      </c>
    </row>
    <row r="44" spans="6:8" x14ac:dyDescent="0.25">
      <c r="F44" t="s">
        <v>52</v>
      </c>
      <c r="G44" t="s">
        <v>110</v>
      </c>
      <c r="H44">
        <v>2.2696987066400852E-2</v>
      </c>
    </row>
    <row r="45" spans="6:8" x14ac:dyDescent="0.25">
      <c r="F45" t="s">
        <v>52</v>
      </c>
      <c r="G45" t="s">
        <v>111</v>
      </c>
      <c r="H45">
        <v>2.278028723338358E-2</v>
      </c>
    </row>
    <row r="46" spans="6:8" x14ac:dyDescent="0.25">
      <c r="F46" t="s">
        <v>52</v>
      </c>
      <c r="G46" t="s">
        <v>112</v>
      </c>
      <c r="H46">
        <v>2.2736135919416551E-2</v>
      </c>
    </row>
    <row r="47" spans="6:8" x14ac:dyDescent="0.25">
      <c r="F47" t="s">
        <v>52</v>
      </c>
      <c r="G47" t="s">
        <v>113</v>
      </c>
      <c r="H47">
        <v>2.2617392784416893E-2</v>
      </c>
    </row>
    <row r="48" spans="6:8" x14ac:dyDescent="0.25">
      <c r="F48" t="s">
        <v>52</v>
      </c>
      <c r="G48" t="s">
        <v>114</v>
      </c>
      <c r="H48">
        <v>2.2870641160585892E-2</v>
      </c>
    </row>
    <row r="49" spans="6:8" x14ac:dyDescent="0.25">
      <c r="F49" t="s">
        <v>52</v>
      </c>
      <c r="G49" t="s">
        <v>115</v>
      </c>
      <c r="H49">
        <v>2.2878488347880935E-2</v>
      </c>
    </row>
    <row r="50" spans="6:8" x14ac:dyDescent="0.25">
      <c r="F50" t="s">
        <v>52</v>
      </c>
      <c r="G50" t="s">
        <v>116</v>
      </c>
      <c r="H50">
        <v>3.0156657442272444E-2</v>
      </c>
    </row>
    <row r="51" spans="6:8" x14ac:dyDescent="0.25">
      <c r="F51" t="s">
        <v>53</v>
      </c>
      <c r="G51" t="s">
        <v>76</v>
      </c>
      <c r="H51">
        <v>5.0514530962233045E-2</v>
      </c>
    </row>
    <row r="52" spans="6:8" x14ac:dyDescent="0.25">
      <c r="F52" t="s">
        <v>53</v>
      </c>
      <c r="G52" t="s">
        <v>78</v>
      </c>
      <c r="H52">
        <v>2.0437647241780495E-2</v>
      </c>
    </row>
    <row r="53" spans="6:8" x14ac:dyDescent="0.25">
      <c r="F53" t="s">
        <v>53</v>
      </c>
      <c r="G53" t="s">
        <v>79</v>
      </c>
      <c r="H53">
        <v>2.0672362474792958E-2</v>
      </c>
    </row>
    <row r="54" spans="6:8" x14ac:dyDescent="0.25">
      <c r="F54" t="s">
        <v>53</v>
      </c>
      <c r="G54" t="s">
        <v>80</v>
      </c>
      <c r="H54">
        <v>2.0688853267333118E-2</v>
      </c>
    </row>
    <row r="55" spans="6:8" x14ac:dyDescent="0.25">
      <c r="F55" t="s">
        <v>53</v>
      </c>
      <c r="G55" t="s">
        <v>81</v>
      </c>
      <c r="H55">
        <v>2.069260122804166E-2</v>
      </c>
    </row>
    <row r="56" spans="6:8" x14ac:dyDescent="0.25">
      <c r="F56" t="s">
        <v>53</v>
      </c>
      <c r="G56" t="s">
        <v>82</v>
      </c>
      <c r="H56">
        <v>2.0692763086460616E-2</v>
      </c>
    </row>
    <row r="57" spans="6:8" x14ac:dyDescent="0.25">
      <c r="F57" t="s">
        <v>53</v>
      </c>
      <c r="G57" t="s">
        <v>83</v>
      </c>
      <c r="H57">
        <v>2.0697707392004928E-2</v>
      </c>
    </row>
    <row r="58" spans="6:8" x14ac:dyDescent="0.25">
      <c r="F58" t="s">
        <v>53</v>
      </c>
      <c r="G58" t="s">
        <v>84</v>
      </c>
      <c r="H58">
        <v>2.0713695602425357E-2</v>
      </c>
    </row>
    <row r="59" spans="6:8" x14ac:dyDescent="0.25">
      <c r="F59" t="s">
        <v>53</v>
      </c>
      <c r="G59" t="s">
        <v>85</v>
      </c>
      <c r="H59">
        <v>2.0708012378011887E-2</v>
      </c>
    </row>
    <row r="60" spans="6:8" x14ac:dyDescent="0.25">
      <c r="F60" t="s">
        <v>53</v>
      </c>
      <c r="G60" t="s">
        <v>86</v>
      </c>
      <c r="H60">
        <v>3.0898003795138244E-2</v>
      </c>
    </row>
    <row r="61" spans="6:8" x14ac:dyDescent="0.25">
      <c r="F61" t="s">
        <v>53</v>
      </c>
      <c r="G61" t="s">
        <v>87</v>
      </c>
      <c r="H61">
        <v>5.1644576280077473E-2</v>
      </c>
    </row>
    <row r="62" spans="6:8" x14ac:dyDescent="0.25">
      <c r="F62" t="s">
        <v>53</v>
      </c>
      <c r="G62" t="s">
        <v>88</v>
      </c>
      <c r="H62">
        <v>2.0845580530874888E-2</v>
      </c>
    </row>
    <row r="63" spans="6:8" x14ac:dyDescent="0.25">
      <c r="F63" t="s">
        <v>53</v>
      </c>
      <c r="G63" t="s">
        <v>89</v>
      </c>
      <c r="H63">
        <v>2.1076193004832908E-2</v>
      </c>
    </row>
    <row r="64" spans="6:8" x14ac:dyDescent="0.25">
      <c r="F64" t="s">
        <v>53</v>
      </c>
      <c r="G64" t="s">
        <v>90</v>
      </c>
      <c r="H64">
        <v>2.1161958614243317E-2</v>
      </c>
    </row>
    <row r="65" spans="6:8" x14ac:dyDescent="0.25">
      <c r="F65" t="s">
        <v>53</v>
      </c>
      <c r="G65" t="s">
        <v>91</v>
      </c>
      <c r="H65">
        <v>2.1165182294420885E-2</v>
      </c>
    </row>
    <row r="66" spans="6:8" x14ac:dyDescent="0.25">
      <c r="F66" t="s">
        <v>53</v>
      </c>
      <c r="G66" t="s">
        <v>92</v>
      </c>
      <c r="H66">
        <v>2.1163382499175307E-2</v>
      </c>
    </row>
    <row r="67" spans="6:8" x14ac:dyDescent="0.25">
      <c r="F67" t="s">
        <v>53</v>
      </c>
      <c r="G67" t="s">
        <v>93</v>
      </c>
      <c r="H67">
        <v>2.1158335566010277E-2</v>
      </c>
    </row>
    <row r="68" spans="6:8" x14ac:dyDescent="0.25">
      <c r="F68" t="s">
        <v>53</v>
      </c>
      <c r="G68" t="s">
        <v>94</v>
      </c>
      <c r="H68">
        <v>2.116930381966883E-2</v>
      </c>
    </row>
    <row r="69" spans="6:8" x14ac:dyDescent="0.25">
      <c r="F69" t="s">
        <v>53</v>
      </c>
      <c r="G69" t="s">
        <v>95</v>
      </c>
      <c r="H69">
        <v>2.1171457240373222E-2</v>
      </c>
    </row>
    <row r="70" spans="6:8" x14ac:dyDescent="0.25">
      <c r="F70" t="s">
        <v>53</v>
      </c>
      <c r="G70" t="s">
        <v>96</v>
      </c>
      <c r="H70">
        <v>3.1505410398323122E-2</v>
      </c>
    </row>
    <row r="71" spans="6:8" x14ac:dyDescent="0.25">
      <c r="F71" t="s">
        <v>53</v>
      </c>
      <c r="G71" t="s">
        <v>97</v>
      </c>
      <c r="H71">
        <v>5.1618648108105347E-2</v>
      </c>
    </row>
    <row r="72" spans="6:8" x14ac:dyDescent="0.25">
      <c r="F72" t="s">
        <v>53</v>
      </c>
      <c r="G72" t="s">
        <v>98</v>
      </c>
      <c r="H72">
        <v>2.0741207991368429E-2</v>
      </c>
    </row>
    <row r="73" spans="6:8" x14ac:dyDescent="0.25">
      <c r="F73" t="s">
        <v>53</v>
      </c>
      <c r="G73" t="s">
        <v>99</v>
      </c>
      <c r="H73">
        <v>2.1022357824428184E-2</v>
      </c>
    </row>
    <row r="74" spans="6:8" x14ac:dyDescent="0.25">
      <c r="F74" t="s">
        <v>53</v>
      </c>
      <c r="G74" t="s">
        <v>100</v>
      </c>
      <c r="H74">
        <v>2.1175684662664659E-2</v>
      </c>
    </row>
    <row r="75" spans="6:8" x14ac:dyDescent="0.25">
      <c r="F75" t="s">
        <v>53</v>
      </c>
      <c r="G75" t="s">
        <v>101</v>
      </c>
      <c r="H75">
        <v>2.1193124907307324E-2</v>
      </c>
    </row>
    <row r="76" spans="6:8" x14ac:dyDescent="0.25">
      <c r="F76" t="s">
        <v>53</v>
      </c>
      <c r="G76" t="s">
        <v>102</v>
      </c>
      <c r="H76">
        <v>2.1196929753039918E-2</v>
      </c>
    </row>
    <row r="77" spans="6:8" x14ac:dyDescent="0.25">
      <c r="F77" t="s">
        <v>53</v>
      </c>
      <c r="G77" t="s">
        <v>103</v>
      </c>
      <c r="H77">
        <v>2.1184433227498016E-2</v>
      </c>
    </row>
    <row r="78" spans="6:8" x14ac:dyDescent="0.25">
      <c r="F78" t="s">
        <v>53</v>
      </c>
      <c r="G78" t="s">
        <v>104</v>
      </c>
      <c r="H78">
        <v>2.1179988571855702E-2</v>
      </c>
    </row>
    <row r="79" spans="6:8" x14ac:dyDescent="0.25">
      <c r="F79" t="s">
        <v>53</v>
      </c>
      <c r="G79" t="s">
        <v>105</v>
      </c>
      <c r="H79">
        <v>2.1169124705148503E-2</v>
      </c>
    </row>
    <row r="80" spans="6:8" x14ac:dyDescent="0.25">
      <c r="F80" t="s">
        <v>53</v>
      </c>
      <c r="G80" t="s">
        <v>106</v>
      </c>
      <c r="H80">
        <v>3.1471760186963293E-2</v>
      </c>
    </row>
    <row r="81" spans="6:8" x14ac:dyDescent="0.25">
      <c r="F81" t="s">
        <v>53</v>
      </c>
      <c r="G81" t="s">
        <v>107</v>
      </c>
      <c r="H81">
        <v>5.1109664216872408E-2</v>
      </c>
    </row>
    <row r="82" spans="6:8" x14ac:dyDescent="0.25">
      <c r="F82" t="s">
        <v>53</v>
      </c>
      <c r="G82" t="s">
        <v>108</v>
      </c>
      <c r="H82">
        <v>2.0579998821209911E-2</v>
      </c>
    </row>
    <row r="83" spans="6:8" x14ac:dyDescent="0.25">
      <c r="F83" t="s">
        <v>53</v>
      </c>
      <c r="G83" t="s">
        <v>109</v>
      </c>
      <c r="H83">
        <v>2.0826673983918815E-2</v>
      </c>
    </row>
    <row r="84" spans="6:8" x14ac:dyDescent="0.25">
      <c r="F84" t="s">
        <v>53</v>
      </c>
      <c r="G84" t="s">
        <v>110</v>
      </c>
      <c r="H84">
        <v>2.0928589075725059E-2</v>
      </c>
    </row>
    <row r="85" spans="6:8" x14ac:dyDescent="0.25">
      <c r="F85" t="s">
        <v>53</v>
      </c>
      <c r="G85" t="s">
        <v>111</v>
      </c>
      <c r="H85">
        <v>2.0933637768220728E-2</v>
      </c>
    </row>
    <row r="86" spans="6:8" x14ac:dyDescent="0.25">
      <c r="F86" t="s">
        <v>53</v>
      </c>
      <c r="G86" t="s">
        <v>112</v>
      </c>
      <c r="H86">
        <v>2.093096182631601E-2</v>
      </c>
    </row>
    <row r="87" spans="6:8" x14ac:dyDescent="0.25">
      <c r="F87" t="s">
        <v>53</v>
      </c>
      <c r="G87" t="s">
        <v>113</v>
      </c>
      <c r="H87">
        <v>2.092376499110787E-2</v>
      </c>
    </row>
    <row r="88" spans="6:8" x14ac:dyDescent="0.25">
      <c r="F88" t="s">
        <v>53</v>
      </c>
      <c r="G88" t="s">
        <v>114</v>
      </c>
      <c r="H88">
        <v>2.0939113978062123E-2</v>
      </c>
    </row>
    <row r="89" spans="6:8" x14ac:dyDescent="0.25">
      <c r="F89" t="s">
        <v>53</v>
      </c>
      <c r="G89" t="s">
        <v>115</v>
      </c>
      <c r="H89">
        <v>2.0939589583778697E-2</v>
      </c>
    </row>
    <row r="90" spans="6:8" x14ac:dyDescent="0.25">
      <c r="F90" t="s">
        <v>53</v>
      </c>
      <c r="G90" t="s">
        <v>116</v>
      </c>
      <c r="H90">
        <v>3.11571881401864E-2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EBC6E-F68A-4634-93A1-292B1461986D}">
  <dimension ref="B9:H50"/>
  <sheetViews>
    <sheetView workbookViewId="0"/>
  </sheetViews>
  <sheetFormatPr defaultRowHeight="15" x14ac:dyDescent="0.25"/>
  <sheetData>
    <row r="9" spans="2:8" x14ac:dyDescent="0.25">
      <c r="B9" t="str">
        <f>IF(A11="x","DeActivated","~TFM_DINS-AT")</f>
        <v>~TFM_DINS-AT</v>
      </c>
      <c r="F9" t="str">
        <f>IF(A11="x","DeActivated","~TFM_DINS-AT")</f>
        <v>~TFM_DINS-AT</v>
      </c>
    </row>
    <row r="10" spans="2:8" x14ac:dyDescent="0.25">
      <c r="B10" t="s">
        <v>40</v>
      </c>
      <c r="C10" t="s">
        <v>41</v>
      </c>
      <c r="D10" t="s">
        <v>54</v>
      </c>
      <c r="F10" t="s">
        <v>40</v>
      </c>
      <c r="G10" t="s">
        <v>41</v>
      </c>
      <c r="H10" t="s">
        <v>54</v>
      </c>
    </row>
    <row r="11" spans="2:8" x14ac:dyDescent="0.25">
      <c r="B11" t="s">
        <v>12</v>
      </c>
      <c r="C11" t="s">
        <v>44</v>
      </c>
      <c r="D11">
        <v>0.2276946866804006</v>
      </c>
      <c r="F11" t="s">
        <v>12</v>
      </c>
      <c r="G11" t="s">
        <v>76</v>
      </c>
      <c r="H11">
        <v>0.1018748514771779</v>
      </c>
    </row>
    <row r="12" spans="2:8" x14ac:dyDescent="0.25">
      <c r="F12" t="s">
        <v>12</v>
      </c>
      <c r="G12" t="s">
        <v>78</v>
      </c>
      <c r="H12">
        <v>0.16639210356716538</v>
      </c>
    </row>
    <row r="13" spans="2:8" x14ac:dyDescent="0.25">
      <c r="F13" t="s">
        <v>12</v>
      </c>
      <c r="G13" t="s">
        <v>79</v>
      </c>
      <c r="H13">
        <v>0.10325936861860541</v>
      </c>
    </row>
    <row r="14" spans="2:8" x14ac:dyDescent="0.25">
      <c r="F14" t="s">
        <v>12</v>
      </c>
      <c r="G14" t="s">
        <v>80</v>
      </c>
      <c r="H14">
        <v>8.1868155950799659E-2</v>
      </c>
    </row>
    <row r="15" spans="2:8" x14ac:dyDescent="0.25">
      <c r="F15" t="s">
        <v>12</v>
      </c>
      <c r="G15" t="s">
        <v>81</v>
      </c>
      <c r="H15">
        <v>6.5958581927505699E-2</v>
      </c>
    </row>
    <row r="16" spans="2:8" x14ac:dyDescent="0.25">
      <c r="F16" t="s">
        <v>12</v>
      </c>
      <c r="G16" t="s">
        <v>82</v>
      </c>
      <c r="H16">
        <v>6.4006294775290629E-2</v>
      </c>
    </row>
    <row r="17" spans="6:8" x14ac:dyDescent="0.25">
      <c r="F17" t="s">
        <v>12</v>
      </c>
      <c r="G17" t="s">
        <v>83</v>
      </c>
      <c r="H17">
        <v>6.4196521725885969E-2</v>
      </c>
    </row>
    <row r="18" spans="6:8" x14ac:dyDescent="0.25">
      <c r="F18" t="s">
        <v>12</v>
      </c>
      <c r="G18" t="s">
        <v>84</v>
      </c>
      <c r="H18">
        <v>5.9151060625885377E-2</v>
      </c>
    </row>
    <row r="19" spans="6:8" x14ac:dyDescent="0.25">
      <c r="F19" t="s">
        <v>12</v>
      </c>
      <c r="G19" t="s">
        <v>85</v>
      </c>
      <c r="H19">
        <v>6.0516841290692902E-2</v>
      </c>
    </row>
    <row r="20" spans="6:8" x14ac:dyDescent="0.25">
      <c r="F20" t="s">
        <v>12</v>
      </c>
      <c r="G20" t="s">
        <v>86</v>
      </c>
      <c r="H20">
        <v>0.11090757802026507</v>
      </c>
    </row>
    <row r="21" spans="6:8" x14ac:dyDescent="0.25">
      <c r="F21" t="s">
        <v>12</v>
      </c>
      <c r="G21" t="s">
        <v>87</v>
      </c>
      <c r="H21">
        <v>0.12497535727614606</v>
      </c>
    </row>
    <row r="22" spans="6:8" x14ac:dyDescent="0.25">
      <c r="F22" t="s">
        <v>12</v>
      </c>
      <c r="G22" t="s">
        <v>88</v>
      </c>
      <c r="H22">
        <v>0.21115984389306797</v>
      </c>
    </row>
    <row r="23" spans="6:8" x14ac:dyDescent="0.25">
      <c r="F23" t="s">
        <v>12</v>
      </c>
      <c r="G23" t="s">
        <v>89</v>
      </c>
      <c r="H23">
        <v>0.15111336910323292</v>
      </c>
    </row>
    <row r="24" spans="6:8" x14ac:dyDescent="0.25">
      <c r="F24" t="s">
        <v>12</v>
      </c>
      <c r="G24" t="s">
        <v>90</v>
      </c>
      <c r="H24">
        <v>9.6801264120474073E-2</v>
      </c>
    </row>
    <row r="25" spans="6:8" x14ac:dyDescent="0.25">
      <c r="F25" t="s">
        <v>12</v>
      </c>
      <c r="G25" t="s">
        <v>91</v>
      </c>
      <c r="H25">
        <v>9.5431406395979357E-2</v>
      </c>
    </row>
    <row r="26" spans="6:8" x14ac:dyDescent="0.25">
      <c r="F26" t="s">
        <v>12</v>
      </c>
      <c r="G26" t="s">
        <v>92</v>
      </c>
      <c r="H26">
        <v>9.5968552581106925E-2</v>
      </c>
    </row>
    <row r="27" spans="6:8" x14ac:dyDescent="0.25">
      <c r="F27" t="s">
        <v>12</v>
      </c>
      <c r="G27" t="s">
        <v>93</v>
      </c>
      <c r="H27">
        <v>9.9945357531769918E-2</v>
      </c>
    </row>
    <row r="28" spans="6:8" x14ac:dyDescent="0.25">
      <c r="F28" t="s">
        <v>12</v>
      </c>
      <c r="G28" t="s">
        <v>94</v>
      </c>
      <c r="H28">
        <v>9.7197688050016717E-2</v>
      </c>
    </row>
    <row r="29" spans="6:8" x14ac:dyDescent="0.25">
      <c r="F29" t="s">
        <v>12</v>
      </c>
      <c r="G29" t="s">
        <v>95</v>
      </c>
      <c r="H29">
        <v>9.5303108119617397E-2</v>
      </c>
    </row>
    <row r="30" spans="6:8" x14ac:dyDescent="0.25">
      <c r="F30" t="s">
        <v>12</v>
      </c>
      <c r="G30" t="s">
        <v>96</v>
      </c>
      <c r="H30">
        <v>0.18045987624447091</v>
      </c>
    </row>
    <row r="31" spans="6:8" x14ac:dyDescent="0.25">
      <c r="F31" t="s">
        <v>12</v>
      </c>
      <c r="G31" t="s">
        <v>97</v>
      </c>
      <c r="H31">
        <v>0.24617098360081391</v>
      </c>
    </row>
    <row r="32" spans="6:8" x14ac:dyDescent="0.25">
      <c r="F32" t="s">
        <v>12</v>
      </c>
      <c r="G32" t="s">
        <v>98</v>
      </c>
      <c r="H32">
        <v>0.16824638157533234</v>
      </c>
    </row>
    <row r="33" spans="6:8" x14ac:dyDescent="0.25">
      <c r="F33" t="s">
        <v>12</v>
      </c>
      <c r="G33" t="s">
        <v>99</v>
      </c>
      <c r="H33">
        <v>0.15277016758505901</v>
      </c>
    </row>
    <row r="34" spans="6:8" x14ac:dyDescent="0.25">
      <c r="F34" t="s">
        <v>12</v>
      </c>
      <c r="G34" t="s">
        <v>100</v>
      </c>
      <c r="H34">
        <v>0.10160422093671806</v>
      </c>
    </row>
    <row r="35" spans="6:8" x14ac:dyDescent="0.25">
      <c r="F35" t="s">
        <v>12</v>
      </c>
      <c r="G35" t="s">
        <v>101</v>
      </c>
      <c r="H35">
        <v>9.6530601482020195E-2</v>
      </c>
    </row>
    <row r="36" spans="6:8" x14ac:dyDescent="0.25">
      <c r="F36" t="s">
        <v>12</v>
      </c>
      <c r="G36" t="s">
        <v>102</v>
      </c>
      <c r="H36">
        <v>9.4648439845909316E-2</v>
      </c>
    </row>
    <row r="37" spans="6:8" x14ac:dyDescent="0.25">
      <c r="F37" t="s">
        <v>12</v>
      </c>
      <c r="G37" t="s">
        <v>103</v>
      </c>
      <c r="H37">
        <v>8.2985902512197729E-2</v>
      </c>
    </row>
    <row r="38" spans="6:8" x14ac:dyDescent="0.25">
      <c r="F38" t="s">
        <v>12</v>
      </c>
      <c r="G38" t="s">
        <v>104</v>
      </c>
      <c r="H38">
        <v>7.5608583715701894E-2</v>
      </c>
    </row>
    <row r="39" spans="6:8" x14ac:dyDescent="0.25">
      <c r="F39" t="s">
        <v>12</v>
      </c>
      <c r="G39" t="s">
        <v>105</v>
      </c>
      <c r="H39">
        <v>8.0848496344748222E-2</v>
      </c>
    </row>
    <row r="40" spans="6:8" x14ac:dyDescent="0.25">
      <c r="F40" t="s">
        <v>12</v>
      </c>
      <c r="G40" t="s">
        <v>106</v>
      </c>
      <c r="H40">
        <v>0.15886287331349846</v>
      </c>
    </row>
    <row r="41" spans="6:8" x14ac:dyDescent="0.25">
      <c r="F41" t="s">
        <v>12</v>
      </c>
      <c r="G41" t="s">
        <v>107</v>
      </c>
      <c r="H41">
        <v>0.11298134537303506</v>
      </c>
    </row>
    <row r="42" spans="6:8" x14ac:dyDescent="0.25">
      <c r="F42" t="s">
        <v>12</v>
      </c>
      <c r="G42" t="s">
        <v>108</v>
      </c>
      <c r="H42">
        <v>0.19541311640415748</v>
      </c>
    </row>
    <row r="43" spans="6:8" x14ac:dyDescent="0.25">
      <c r="F43" t="s">
        <v>12</v>
      </c>
      <c r="G43" t="s">
        <v>109</v>
      </c>
      <c r="H43">
        <v>0.1138568600274954</v>
      </c>
    </row>
    <row r="44" spans="6:8" x14ac:dyDescent="0.25">
      <c r="F44" t="s">
        <v>12</v>
      </c>
      <c r="G44" t="s">
        <v>110</v>
      </c>
      <c r="H44">
        <v>5.1457745532715204E-2</v>
      </c>
    </row>
    <row r="45" spans="6:8" x14ac:dyDescent="0.25">
      <c r="F45" t="s">
        <v>12</v>
      </c>
      <c r="G45" t="s">
        <v>111</v>
      </c>
      <c r="H45">
        <v>4.8317920242786139E-2</v>
      </c>
    </row>
    <row r="46" spans="6:8" x14ac:dyDescent="0.25">
      <c r="F46" t="s">
        <v>12</v>
      </c>
      <c r="G46" t="s">
        <v>112</v>
      </c>
      <c r="H46">
        <v>5.2022279291598528E-2</v>
      </c>
    </row>
    <row r="47" spans="6:8" x14ac:dyDescent="0.25">
      <c r="F47" t="s">
        <v>12</v>
      </c>
      <c r="G47" t="s">
        <v>113</v>
      </c>
      <c r="H47">
        <v>5.4162875444740743E-2</v>
      </c>
    </row>
    <row r="48" spans="6:8" x14ac:dyDescent="0.25">
      <c r="F48" t="s">
        <v>12</v>
      </c>
      <c r="G48" t="s">
        <v>114</v>
      </c>
      <c r="H48">
        <v>4.818309224153694E-2</v>
      </c>
    </row>
    <row r="49" spans="6:8" x14ac:dyDescent="0.25">
      <c r="F49" t="s">
        <v>12</v>
      </c>
      <c r="G49" t="s">
        <v>115</v>
      </c>
      <c r="H49">
        <v>5.0278970293577308E-2</v>
      </c>
    </row>
    <row r="50" spans="6:8" x14ac:dyDescent="0.25">
      <c r="F50" t="s">
        <v>12</v>
      </c>
      <c r="G50" t="s">
        <v>116</v>
      </c>
      <c r="H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564CF-15A2-40C8-A97F-3BCF46BDB489}">
  <dimension ref="B9:J126"/>
  <sheetViews>
    <sheetView tabSelected="1" workbookViewId="0"/>
  </sheetViews>
  <sheetFormatPr defaultRowHeight="15" x14ac:dyDescent="0.25"/>
  <sheetData>
    <row r="9" spans="2:10" x14ac:dyDescent="0.25">
      <c r="B9" t="str">
        <f>IF(A11="x","DeActivated","~TFM_INS-AT")</f>
        <v>~TFM_INS-AT</v>
      </c>
      <c r="G9" t="str">
        <f>IF(A11="x","DeActivated","~TFM_INS-AT")</f>
        <v>~TFM_INS-AT</v>
      </c>
    </row>
    <row r="10" spans="2:10" x14ac:dyDescent="0.25">
      <c r="B10" t="s">
        <v>55</v>
      </c>
      <c r="C10" t="s">
        <v>41</v>
      </c>
      <c r="D10" t="s">
        <v>56</v>
      </c>
      <c r="E10" t="s">
        <v>57</v>
      </c>
      <c r="G10" t="s">
        <v>55</v>
      </c>
      <c r="H10" t="s">
        <v>41</v>
      </c>
      <c r="I10" t="s">
        <v>56</v>
      </c>
      <c r="J10" t="s">
        <v>57</v>
      </c>
    </row>
    <row r="11" spans="2:10" x14ac:dyDescent="0.25">
      <c r="B11">
        <v>2020</v>
      </c>
      <c r="C11" t="s">
        <v>37</v>
      </c>
      <c r="D11">
        <v>0.56919999999999993</v>
      </c>
      <c r="E11" t="s">
        <v>58</v>
      </c>
      <c r="G11">
        <v>2020</v>
      </c>
      <c r="H11" t="s">
        <v>59</v>
      </c>
      <c r="I11">
        <v>0.19280051657296213</v>
      </c>
      <c r="J11" t="s">
        <v>58</v>
      </c>
    </row>
    <row r="12" spans="2:10" x14ac:dyDescent="0.25">
      <c r="B12">
        <v>2021</v>
      </c>
      <c r="C12" t="s">
        <v>37</v>
      </c>
      <c r="D12">
        <v>0.48831666666666673</v>
      </c>
      <c r="E12" t="s">
        <v>58</v>
      </c>
      <c r="G12">
        <v>2020</v>
      </c>
      <c r="H12" t="s">
        <v>62</v>
      </c>
      <c r="I12">
        <v>0.17524931119401166</v>
      </c>
      <c r="J12" t="s">
        <v>58</v>
      </c>
    </row>
    <row r="13" spans="2:10" x14ac:dyDescent="0.25">
      <c r="B13">
        <v>2022</v>
      </c>
      <c r="C13" t="s">
        <v>37</v>
      </c>
      <c r="D13">
        <v>0.40083333333333337</v>
      </c>
      <c r="E13" t="s">
        <v>58</v>
      </c>
      <c r="G13">
        <v>2020</v>
      </c>
      <c r="H13" t="s">
        <v>64</v>
      </c>
      <c r="I13">
        <v>0.194602930778046</v>
      </c>
      <c r="J13" t="s">
        <v>58</v>
      </c>
    </row>
    <row r="14" spans="2:10" x14ac:dyDescent="0.25">
      <c r="B14">
        <v>2025</v>
      </c>
      <c r="C14" t="s">
        <v>37</v>
      </c>
      <c r="D14">
        <v>0.41761666666666675</v>
      </c>
      <c r="E14" t="s">
        <v>58</v>
      </c>
      <c r="G14">
        <v>2020</v>
      </c>
      <c r="H14" t="s">
        <v>66</v>
      </c>
      <c r="I14">
        <v>0.19109794455416573</v>
      </c>
      <c r="J14" t="s">
        <v>58</v>
      </c>
    </row>
    <row r="15" spans="2:10" x14ac:dyDescent="0.25">
      <c r="B15">
        <v>2026</v>
      </c>
      <c r="C15" t="s">
        <v>37</v>
      </c>
      <c r="D15">
        <v>0.43812500000000004</v>
      </c>
      <c r="E15" t="s">
        <v>58</v>
      </c>
      <c r="G15">
        <v>2021</v>
      </c>
      <c r="H15" t="s">
        <v>59</v>
      </c>
      <c r="I15">
        <v>0.20652868175315797</v>
      </c>
      <c r="J15" t="s">
        <v>58</v>
      </c>
    </row>
    <row r="16" spans="2:10" x14ac:dyDescent="0.25">
      <c r="B16">
        <v>2027</v>
      </c>
      <c r="C16" t="s">
        <v>37</v>
      </c>
      <c r="D16">
        <v>0.39147499999999996</v>
      </c>
      <c r="E16" t="s">
        <v>58</v>
      </c>
      <c r="G16">
        <v>2021</v>
      </c>
      <c r="H16" t="s">
        <v>62</v>
      </c>
      <c r="I16">
        <v>0.28960203968517906</v>
      </c>
      <c r="J16" t="s">
        <v>58</v>
      </c>
    </row>
    <row r="17" spans="2:10" x14ac:dyDescent="0.25">
      <c r="B17">
        <v>2028</v>
      </c>
      <c r="C17" t="s">
        <v>37</v>
      </c>
      <c r="D17">
        <v>0.44040000000000007</v>
      </c>
      <c r="E17" t="s">
        <v>58</v>
      </c>
      <c r="G17">
        <v>2021</v>
      </c>
      <c r="H17" t="s">
        <v>64</v>
      </c>
      <c r="I17">
        <v>0.17736392861101871</v>
      </c>
      <c r="J17" t="s">
        <v>58</v>
      </c>
    </row>
    <row r="18" spans="2:10" x14ac:dyDescent="0.25">
      <c r="B18">
        <v>2029</v>
      </c>
      <c r="C18" t="s">
        <v>37</v>
      </c>
      <c r="D18">
        <v>0.41259999999999991</v>
      </c>
      <c r="E18" t="s">
        <v>58</v>
      </c>
      <c r="G18">
        <v>2021</v>
      </c>
      <c r="H18" t="s">
        <v>66</v>
      </c>
      <c r="I18">
        <v>0.1889110593799653</v>
      </c>
      <c r="J18" t="s">
        <v>58</v>
      </c>
    </row>
    <row r="19" spans="2:10" x14ac:dyDescent="0.25">
      <c r="B19">
        <v>2030</v>
      </c>
      <c r="C19" t="s">
        <v>37</v>
      </c>
      <c r="D19">
        <v>0.41924166666666668</v>
      </c>
      <c r="E19" t="s">
        <v>58</v>
      </c>
      <c r="G19">
        <v>2022</v>
      </c>
      <c r="H19" t="s">
        <v>59</v>
      </c>
      <c r="I19">
        <v>0.23838260342539472</v>
      </c>
      <c r="J19" t="s">
        <v>58</v>
      </c>
    </row>
    <row r="20" spans="2:10" x14ac:dyDescent="0.25">
      <c r="B20">
        <v>2031</v>
      </c>
      <c r="C20" t="s">
        <v>37</v>
      </c>
      <c r="D20">
        <v>0.46263333333333329</v>
      </c>
      <c r="E20" t="s">
        <v>58</v>
      </c>
      <c r="G20">
        <v>2022</v>
      </c>
      <c r="H20" t="s">
        <v>62</v>
      </c>
      <c r="I20">
        <v>0.23148148148148143</v>
      </c>
      <c r="J20" t="s">
        <v>58</v>
      </c>
    </row>
    <row r="21" spans="2:10" x14ac:dyDescent="0.25">
      <c r="B21">
        <v>2032</v>
      </c>
      <c r="C21" t="s">
        <v>37</v>
      </c>
      <c r="D21">
        <v>0.38890000000000002</v>
      </c>
      <c r="E21" t="s">
        <v>58</v>
      </c>
      <c r="G21">
        <v>2022</v>
      </c>
      <c r="H21" t="s">
        <v>64</v>
      </c>
      <c r="I21">
        <v>0.1203886572550167</v>
      </c>
      <c r="J21" t="s">
        <v>58</v>
      </c>
    </row>
    <row r="22" spans="2:10" x14ac:dyDescent="0.25">
      <c r="B22">
        <v>2033</v>
      </c>
      <c r="C22" t="s">
        <v>37</v>
      </c>
      <c r="D22">
        <v>0.39654166666666663</v>
      </c>
      <c r="E22" t="s">
        <v>58</v>
      </c>
      <c r="G22">
        <v>2022</v>
      </c>
      <c r="H22" t="s">
        <v>66</v>
      </c>
      <c r="I22">
        <v>0.13532294638285416</v>
      </c>
      <c r="J22" t="s">
        <v>58</v>
      </c>
    </row>
    <row r="23" spans="2:10" x14ac:dyDescent="0.25">
      <c r="B23">
        <v>2034</v>
      </c>
      <c r="C23" t="s">
        <v>37</v>
      </c>
      <c r="D23">
        <v>0.42930833333333335</v>
      </c>
      <c r="E23" t="s">
        <v>58</v>
      </c>
      <c r="G23">
        <v>2025</v>
      </c>
      <c r="H23" t="s">
        <v>59</v>
      </c>
      <c r="I23">
        <v>0.23149999999999996</v>
      </c>
      <c r="J23" t="s">
        <v>58</v>
      </c>
    </row>
    <row r="24" spans="2:10" x14ac:dyDescent="0.25">
      <c r="B24">
        <v>2035</v>
      </c>
      <c r="C24" t="s">
        <v>37</v>
      </c>
      <c r="D24">
        <v>0.39865833333333334</v>
      </c>
      <c r="E24" t="s">
        <v>58</v>
      </c>
      <c r="G24">
        <v>2025</v>
      </c>
      <c r="H24" t="s">
        <v>62</v>
      </c>
      <c r="I24">
        <v>0.23830000000000004</v>
      </c>
      <c r="J24" t="s">
        <v>58</v>
      </c>
    </row>
    <row r="25" spans="2:10" x14ac:dyDescent="0.25">
      <c r="B25">
        <v>2036</v>
      </c>
      <c r="C25" t="s">
        <v>37</v>
      </c>
      <c r="D25">
        <v>0.45432499999999992</v>
      </c>
      <c r="E25" t="s">
        <v>58</v>
      </c>
      <c r="G25">
        <v>2025</v>
      </c>
      <c r="H25" t="s">
        <v>64</v>
      </c>
      <c r="I25">
        <v>0.14673333333333335</v>
      </c>
      <c r="J25" t="s">
        <v>58</v>
      </c>
    </row>
    <row r="26" spans="2:10" x14ac:dyDescent="0.25">
      <c r="B26">
        <v>2037</v>
      </c>
      <c r="C26" t="s">
        <v>37</v>
      </c>
      <c r="D26">
        <v>0.43140000000000001</v>
      </c>
      <c r="E26" t="s">
        <v>58</v>
      </c>
      <c r="G26">
        <v>2025</v>
      </c>
      <c r="H26" t="s">
        <v>66</v>
      </c>
      <c r="I26">
        <v>0.16193333333333335</v>
      </c>
      <c r="J26" t="s">
        <v>58</v>
      </c>
    </row>
    <row r="27" spans="2:10" x14ac:dyDescent="0.25">
      <c r="B27">
        <v>2038</v>
      </c>
      <c r="C27" t="s">
        <v>37</v>
      </c>
      <c r="D27">
        <v>0.53756666666666664</v>
      </c>
      <c r="E27" t="s">
        <v>58</v>
      </c>
      <c r="G27">
        <v>2026</v>
      </c>
      <c r="H27" t="s">
        <v>59</v>
      </c>
      <c r="I27">
        <v>0.21083333333333334</v>
      </c>
      <c r="J27" t="s">
        <v>58</v>
      </c>
    </row>
    <row r="28" spans="2:10" x14ac:dyDescent="0.25">
      <c r="B28">
        <v>2039</v>
      </c>
      <c r="C28" t="s">
        <v>37</v>
      </c>
      <c r="D28">
        <v>0.44751666666666673</v>
      </c>
      <c r="E28" t="s">
        <v>58</v>
      </c>
      <c r="G28">
        <v>2026</v>
      </c>
      <c r="H28" t="s">
        <v>62</v>
      </c>
      <c r="I28">
        <v>0.24223333333333333</v>
      </c>
      <c r="J28" t="s">
        <v>58</v>
      </c>
    </row>
    <row r="29" spans="2:10" x14ac:dyDescent="0.25">
      <c r="B29">
        <v>2040</v>
      </c>
      <c r="C29" t="s">
        <v>37</v>
      </c>
      <c r="D29">
        <v>0.43783333333333335</v>
      </c>
      <c r="E29" t="s">
        <v>58</v>
      </c>
      <c r="G29">
        <v>2026</v>
      </c>
      <c r="H29" t="s">
        <v>64</v>
      </c>
      <c r="I29">
        <v>0.153</v>
      </c>
      <c r="J29" t="s">
        <v>58</v>
      </c>
    </row>
    <row r="30" spans="2:10" x14ac:dyDescent="0.25">
      <c r="B30">
        <v>2041</v>
      </c>
      <c r="C30" t="s">
        <v>37</v>
      </c>
      <c r="D30">
        <v>0.48789166666666661</v>
      </c>
      <c r="E30" t="s">
        <v>58</v>
      </c>
      <c r="G30">
        <v>2026</v>
      </c>
      <c r="H30" t="s">
        <v>66</v>
      </c>
      <c r="I30">
        <v>0.16739999999999999</v>
      </c>
      <c r="J30" t="s">
        <v>58</v>
      </c>
    </row>
    <row r="31" spans="2:10" x14ac:dyDescent="0.25">
      <c r="B31">
        <v>2042</v>
      </c>
      <c r="C31" t="s">
        <v>37</v>
      </c>
      <c r="D31">
        <v>0.48406666666666665</v>
      </c>
      <c r="E31" t="s">
        <v>58</v>
      </c>
      <c r="G31">
        <v>2027</v>
      </c>
      <c r="H31" t="s">
        <v>59</v>
      </c>
      <c r="I31">
        <v>0.24223333333333338</v>
      </c>
      <c r="J31" t="s">
        <v>58</v>
      </c>
    </row>
    <row r="32" spans="2:10" x14ac:dyDescent="0.25">
      <c r="B32">
        <v>2043</v>
      </c>
      <c r="C32" t="s">
        <v>37</v>
      </c>
      <c r="D32">
        <v>0.43420833333333331</v>
      </c>
      <c r="E32" t="s">
        <v>58</v>
      </c>
      <c r="G32">
        <v>2027</v>
      </c>
      <c r="H32" t="s">
        <v>62</v>
      </c>
      <c r="I32">
        <v>0.24816666666666665</v>
      </c>
      <c r="J32" t="s">
        <v>58</v>
      </c>
    </row>
    <row r="33" spans="2:10" x14ac:dyDescent="0.25">
      <c r="B33">
        <v>2044</v>
      </c>
      <c r="C33" t="s">
        <v>37</v>
      </c>
      <c r="D33">
        <v>0.54013333333333335</v>
      </c>
      <c r="E33" t="s">
        <v>58</v>
      </c>
      <c r="G33">
        <v>2027</v>
      </c>
      <c r="H33" t="s">
        <v>64</v>
      </c>
      <c r="I33">
        <v>0.14873333333333336</v>
      </c>
      <c r="J33" t="s">
        <v>58</v>
      </c>
    </row>
    <row r="34" spans="2:10" x14ac:dyDescent="0.25">
      <c r="B34">
        <v>2045</v>
      </c>
      <c r="C34" t="s">
        <v>37</v>
      </c>
      <c r="D34">
        <v>0.45367499999999999</v>
      </c>
      <c r="E34" t="s">
        <v>58</v>
      </c>
      <c r="G34">
        <v>2027</v>
      </c>
      <c r="H34" t="s">
        <v>66</v>
      </c>
      <c r="I34">
        <v>0.1718666666666667</v>
      </c>
      <c r="J34" t="s">
        <v>58</v>
      </c>
    </row>
    <row r="35" spans="2:10" x14ac:dyDescent="0.25">
      <c r="B35">
        <v>2046</v>
      </c>
      <c r="C35" t="s">
        <v>37</v>
      </c>
      <c r="D35">
        <v>0.47832499999999994</v>
      </c>
      <c r="E35" t="s">
        <v>58</v>
      </c>
      <c r="G35">
        <v>2028</v>
      </c>
      <c r="H35" t="s">
        <v>59</v>
      </c>
      <c r="I35">
        <v>0.20206666666666664</v>
      </c>
      <c r="J35" t="s">
        <v>58</v>
      </c>
    </row>
    <row r="36" spans="2:10" x14ac:dyDescent="0.25">
      <c r="B36">
        <v>2047</v>
      </c>
      <c r="C36" t="s">
        <v>37</v>
      </c>
      <c r="D36">
        <v>0.46139166666666664</v>
      </c>
      <c r="E36" t="s">
        <v>58</v>
      </c>
      <c r="G36">
        <v>2028</v>
      </c>
      <c r="H36" t="s">
        <v>62</v>
      </c>
      <c r="I36">
        <v>0.20676666666666665</v>
      </c>
      <c r="J36" t="s">
        <v>58</v>
      </c>
    </row>
    <row r="37" spans="2:10" x14ac:dyDescent="0.25">
      <c r="B37">
        <v>2048</v>
      </c>
      <c r="C37" t="s">
        <v>37</v>
      </c>
      <c r="D37">
        <v>0.39425833333333332</v>
      </c>
      <c r="E37" t="s">
        <v>58</v>
      </c>
      <c r="G37">
        <v>2028</v>
      </c>
      <c r="H37" t="s">
        <v>64</v>
      </c>
      <c r="I37">
        <v>0.12963333333333335</v>
      </c>
      <c r="J37" t="s">
        <v>58</v>
      </c>
    </row>
    <row r="38" spans="2:10" x14ac:dyDescent="0.25">
      <c r="B38">
        <v>2049</v>
      </c>
      <c r="C38" t="s">
        <v>37</v>
      </c>
      <c r="D38">
        <v>0.44047500000000001</v>
      </c>
      <c r="E38" t="s">
        <v>58</v>
      </c>
      <c r="G38">
        <v>2028</v>
      </c>
      <c r="H38" t="s">
        <v>66</v>
      </c>
      <c r="I38">
        <v>0.14180000000000001</v>
      </c>
      <c r="J38" t="s">
        <v>58</v>
      </c>
    </row>
    <row r="39" spans="2:10" x14ac:dyDescent="0.25">
      <c r="B39">
        <v>2050</v>
      </c>
      <c r="C39" t="s">
        <v>37</v>
      </c>
      <c r="D39">
        <v>0.40086666666666665</v>
      </c>
      <c r="E39" t="s">
        <v>58</v>
      </c>
      <c r="G39">
        <v>2029</v>
      </c>
      <c r="H39" t="s">
        <v>59</v>
      </c>
      <c r="I39">
        <v>0.19369999999999998</v>
      </c>
      <c r="J39" t="s">
        <v>58</v>
      </c>
    </row>
    <row r="40" spans="2:10" x14ac:dyDescent="0.25">
      <c r="G40">
        <v>2029</v>
      </c>
      <c r="H40" t="s">
        <v>62</v>
      </c>
      <c r="I40">
        <v>0.22176666666666667</v>
      </c>
      <c r="J40" t="s">
        <v>58</v>
      </c>
    </row>
    <row r="41" spans="2:10" x14ac:dyDescent="0.25">
      <c r="G41">
        <v>2029</v>
      </c>
      <c r="H41" t="s">
        <v>64</v>
      </c>
      <c r="I41">
        <v>0.13126666666666667</v>
      </c>
      <c r="J41" t="s">
        <v>58</v>
      </c>
    </row>
    <row r="42" spans="2:10" x14ac:dyDescent="0.25">
      <c r="G42">
        <v>2029</v>
      </c>
      <c r="H42" t="s">
        <v>66</v>
      </c>
      <c r="I42">
        <v>0.1318</v>
      </c>
      <c r="J42" t="s">
        <v>58</v>
      </c>
    </row>
    <row r="43" spans="2:10" x14ac:dyDescent="0.25">
      <c r="G43">
        <v>2030</v>
      </c>
      <c r="H43" t="s">
        <v>59</v>
      </c>
      <c r="I43">
        <v>0.20263333333333333</v>
      </c>
      <c r="J43" t="s">
        <v>58</v>
      </c>
    </row>
    <row r="44" spans="2:10" x14ac:dyDescent="0.25">
      <c r="G44">
        <v>2030</v>
      </c>
      <c r="H44" t="s">
        <v>62</v>
      </c>
      <c r="I44">
        <v>0.20966666666666667</v>
      </c>
      <c r="J44" t="s">
        <v>58</v>
      </c>
    </row>
    <row r="45" spans="2:10" x14ac:dyDescent="0.25">
      <c r="G45">
        <v>2030</v>
      </c>
      <c r="H45" t="s">
        <v>64</v>
      </c>
      <c r="I45">
        <v>0.12216666666666666</v>
      </c>
      <c r="J45" t="s">
        <v>58</v>
      </c>
    </row>
    <row r="46" spans="2:10" x14ac:dyDescent="0.25">
      <c r="G46">
        <v>2030</v>
      </c>
      <c r="H46" t="s">
        <v>66</v>
      </c>
      <c r="I46">
        <v>0.14249999999999999</v>
      </c>
      <c r="J46" t="s">
        <v>58</v>
      </c>
    </row>
    <row r="47" spans="2:10" x14ac:dyDescent="0.25">
      <c r="G47">
        <v>2031</v>
      </c>
      <c r="H47" t="s">
        <v>59</v>
      </c>
      <c r="I47">
        <v>0.19099999999999998</v>
      </c>
      <c r="J47" t="s">
        <v>58</v>
      </c>
    </row>
    <row r="48" spans="2:10" x14ac:dyDescent="0.25">
      <c r="G48">
        <v>2031</v>
      </c>
      <c r="H48" t="s">
        <v>62</v>
      </c>
      <c r="I48">
        <v>0.2084</v>
      </c>
      <c r="J48" t="s">
        <v>58</v>
      </c>
    </row>
    <row r="49" spans="7:10" x14ac:dyDescent="0.25">
      <c r="G49">
        <v>2031</v>
      </c>
      <c r="H49" t="s">
        <v>64</v>
      </c>
      <c r="I49">
        <v>0.127</v>
      </c>
      <c r="J49" t="s">
        <v>58</v>
      </c>
    </row>
    <row r="50" spans="7:10" x14ac:dyDescent="0.25">
      <c r="G50">
        <v>2031</v>
      </c>
      <c r="H50" t="s">
        <v>66</v>
      </c>
      <c r="I50">
        <v>0.13183333333333333</v>
      </c>
      <c r="J50" t="s">
        <v>58</v>
      </c>
    </row>
    <row r="51" spans="7:10" x14ac:dyDescent="0.25">
      <c r="G51">
        <v>2032</v>
      </c>
      <c r="H51" t="s">
        <v>59</v>
      </c>
      <c r="I51">
        <v>0.2034</v>
      </c>
      <c r="J51" t="s">
        <v>58</v>
      </c>
    </row>
    <row r="52" spans="7:10" x14ac:dyDescent="0.25">
      <c r="G52">
        <v>2032</v>
      </c>
      <c r="H52" t="s">
        <v>62</v>
      </c>
      <c r="I52">
        <v>0.20650000000000002</v>
      </c>
      <c r="J52" t="s">
        <v>58</v>
      </c>
    </row>
    <row r="53" spans="7:10" x14ac:dyDescent="0.25">
      <c r="G53">
        <v>2032</v>
      </c>
      <c r="H53" t="s">
        <v>64</v>
      </c>
      <c r="I53">
        <v>0.1303</v>
      </c>
      <c r="J53" t="s">
        <v>58</v>
      </c>
    </row>
    <row r="54" spans="7:10" x14ac:dyDescent="0.25">
      <c r="G54">
        <v>2032</v>
      </c>
      <c r="H54" t="s">
        <v>66</v>
      </c>
      <c r="I54">
        <v>0.14176666666666668</v>
      </c>
      <c r="J54" t="s">
        <v>58</v>
      </c>
    </row>
    <row r="55" spans="7:10" x14ac:dyDescent="0.25">
      <c r="G55">
        <v>2033</v>
      </c>
      <c r="H55" t="s">
        <v>59</v>
      </c>
      <c r="I55">
        <v>0.26986666666666664</v>
      </c>
      <c r="J55" t="s">
        <v>58</v>
      </c>
    </row>
    <row r="56" spans="7:10" x14ac:dyDescent="0.25">
      <c r="G56">
        <v>2033</v>
      </c>
      <c r="H56" t="s">
        <v>62</v>
      </c>
      <c r="I56">
        <v>0.30043333333333333</v>
      </c>
      <c r="J56" t="s">
        <v>58</v>
      </c>
    </row>
    <row r="57" spans="7:10" x14ac:dyDescent="0.25">
      <c r="G57">
        <v>2033</v>
      </c>
      <c r="H57" t="s">
        <v>64</v>
      </c>
      <c r="I57">
        <v>0.17813333333333334</v>
      </c>
      <c r="J57" t="s">
        <v>58</v>
      </c>
    </row>
    <row r="58" spans="7:10" x14ac:dyDescent="0.25">
      <c r="G58">
        <v>2033</v>
      </c>
      <c r="H58" t="s">
        <v>66</v>
      </c>
      <c r="I58">
        <v>0.18843333333333334</v>
      </c>
      <c r="J58" t="s">
        <v>58</v>
      </c>
    </row>
    <row r="59" spans="7:10" x14ac:dyDescent="0.25">
      <c r="G59">
        <v>2034</v>
      </c>
      <c r="H59" t="s">
        <v>59</v>
      </c>
      <c r="I59">
        <v>0.24139999999999998</v>
      </c>
      <c r="J59" t="s">
        <v>58</v>
      </c>
    </row>
    <row r="60" spans="7:10" x14ac:dyDescent="0.25">
      <c r="G60">
        <v>2034</v>
      </c>
      <c r="H60" t="s">
        <v>62</v>
      </c>
      <c r="I60">
        <v>0.28463333333333335</v>
      </c>
      <c r="J60" t="s">
        <v>58</v>
      </c>
    </row>
    <row r="61" spans="7:10" x14ac:dyDescent="0.25">
      <c r="G61">
        <v>2034</v>
      </c>
      <c r="H61" t="s">
        <v>64</v>
      </c>
      <c r="I61">
        <v>0.16866666666666666</v>
      </c>
      <c r="J61" t="s">
        <v>58</v>
      </c>
    </row>
    <row r="62" spans="7:10" x14ac:dyDescent="0.25">
      <c r="G62">
        <v>2034</v>
      </c>
      <c r="H62" t="s">
        <v>66</v>
      </c>
      <c r="I62">
        <v>0.18399999999999997</v>
      </c>
      <c r="J62" t="s">
        <v>58</v>
      </c>
    </row>
    <row r="63" spans="7:10" x14ac:dyDescent="0.25">
      <c r="G63">
        <v>2035</v>
      </c>
      <c r="H63" t="s">
        <v>59</v>
      </c>
      <c r="I63">
        <v>0.25866666666666666</v>
      </c>
      <c r="J63" t="s">
        <v>58</v>
      </c>
    </row>
    <row r="64" spans="7:10" x14ac:dyDescent="0.25">
      <c r="G64">
        <v>2035</v>
      </c>
      <c r="H64" t="s">
        <v>62</v>
      </c>
      <c r="I64">
        <v>0.28186666666666665</v>
      </c>
      <c r="J64" t="s">
        <v>58</v>
      </c>
    </row>
    <row r="65" spans="7:10" x14ac:dyDescent="0.25">
      <c r="G65">
        <v>2035</v>
      </c>
      <c r="H65" t="s">
        <v>64</v>
      </c>
      <c r="I65">
        <v>0.16830000000000001</v>
      </c>
      <c r="J65" t="s">
        <v>58</v>
      </c>
    </row>
    <row r="66" spans="7:10" x14ac:dyDescent="0.25">
      <c r="G66">
        <v>2035</v>
      </c>
      <c r="H66" t="s">
        <v>66</v>
      </c>
      <c r="I66">
        <v>0.17983333333333332</v>
      </c>
      <c r="J66" t="s">
        <v>58</v>
      </c>
    </row>
    <row r="67" spans="7:10" x14ac:dyDescent="0.25">
      <c r="G67">
        <v>2036</v>
      </c>
      <c r="H67" t="s">
        <v>59</v>
      </c>
      <c r="I67">
        <v>0.24666666666666667</v>
      </c>
      <c r="J67" t="s">
        <v>58</v>
      </c>
    </row>
    <row r="68" spans="7:10" x14ac:dyDescent="0.25">
      <c r="G68">
        <v>2036</v>
      </c>
      <c r="H68" t="s">
        <v>62</v>
      </c>
      <c r="I68">
        <v>0.30519999999999997</v>
      </c>
      <c r="J68" t="s">
        <v>58</v>
      </c>
    </row>
    <row r="69" spans="7:10" x14ac:dyDescent="0.25">
      <c r="G69">
        <v>2036</v>
      </c>
      <c r="H69" t="s">
        <v>64</v>
      </c>
      <c r="I69">
        <v>0.16900000000000001</v>
      </c>
      <c r="J69" t="s">
        <v>58</v>
      </c>
    </row>
    <row r="70" spans="7:10" x14ac:dyDescent="0.25">
      <c r="G70">
        <v>2036</v>
      </c>
      <c r="H70" t="s">
        <v>66</v>
      </c>
      <c r="I70">
        <v>0.18996666666666664</v>
      </c>
      <c r="J70" t="s">
        <v>58</v>
      </c>
    </row>
    <row r="71" spans="7:10" x14ac:dyDescent="0.25">
      <c r="G71">
        <v>2037</v>
      </c>
      <c r="H71" t="s">
        <v>59</v>
      </c>
      <c r="I71">
        <v>0.25940000000000002</v>
      </c>
      <c r="J71" t="s">
        <v>58</v>
      </c>
    </row>
    <row r="72" spans="7:10" x14ac:dyDescent="0.25">
      <c r="G72">
        <v>2037</v>
      </c>
      <c r="H72" t="s">
        <v>62</v>
      </c>
      <c r="I72">
        <v>0.28876666666666667</v>
      </c>
      <c r="J72" t="s">
        <v>58</v>
      </c>
    </row>
    <row r="73" spans="7:10" x14ac:dyDescent="0.25">
      <c r="G73">
        <v>2037</v>
      </c>
      <c r="H73" t="s">
        <v>64</v>
      </c>
      <c r="I73">
        <v>0.17</v>
      </c>
      <c r="J73" t="s">
        <v>58</v>
      </c>
    </row>
    <row r="74" spans="7:10" x14ac:dyDescent="0.25">
      <c r="G74">
        <v>2037</v>
      </c>
      <c r="H74" t="s">
        <v>66</v>
      </c>
      <c r="I74">
        <v>0.1988</v>
      </c>
      <c r="J74" t="s">
        <v>58</v>
      </c>
    </row>
    <row r="75" spans="7:10" x14ac:dyDescent="0.25">
      <c r="G75">
        <v>2038</v>
      </c>
      <c r="H75" t="s">
        <v>59</v>
      </c>
      <c r="I75">
        <v>0.27460000000000001</v>
      </c>
      <c r="J75" t="s">
        <v>58</v>
      </c>
    </row>
    <row r="76" spans="7:10" x14ac:dyDescent="0.25">
      <c r="G76">
        <v>2038</v>
      </c>
      <c r="H76" t="s">
        <v>62</v>
      </c>
      <c r="I76">
        <v>0.27763333333333334</v>
      </c>
      <c r="J76" t="s">
        <v>58</v>
      </c>
    </row>
    <row r="77" spans="7:10" x14ac:dyDescent="0.25">
      <c r="G77">
        <v>2038</v>
      </c>
      <c r="H77" t="s">
        <v>64</v>
      </c>
      <c r="I77">
        <v>0.17176666666666665</v>
      </c>
      <c r="J77" t="s">
        <v>58</v>
      </c>
    </row>
    <row r="78" spans="7:10" x14ac:dyDescent="0.25">
      <c r="G78">
        <v>2038</v>
      </c>
      <c r="H78" t="s">
        <v>66</v>
      </c>
      <c r="I78">
        <v>0.18346666666666667</v>
      </c>
      <c r="J78" t="s">
        <v>58</v>
      </c>
    </row>
    <row r="79" spans="7:10" x14ac:dyDescent="0.25">
      <c r="G79">
        <v>2039</v>
      </c>
      <c r="H79" t="s">
        <v>59</v>
      </c>
      <c r="I79">
        <v>0.23576666666666668</v>
      </c>
      <c r="J79" t="s">
        <v>58</v>
      </c>
    </row>
    <row r="80" spans="7:10" x14ac:dyDescent="0.25">
      <c r="G80">
        <v>2039</v>
      </c>
      <c r="H80" t="s">
        <v>62</v>
      </c>
      <c r="I80">
        <v>0.24663333333333334</v>
      </c>
      <c r="J80" t="s">
        <v>58</v>
      </c>
    </row>
    <row r="81" spans="7:10" x14ac:dyDescent="0.25">
      <c r="G81">
        <v>2039</v>
      </c>
      <c r="H81" t="s">
        <v>64</v>
      </c>
      <c r="I81">
        <v>0.15043333333333334</v>
      </c>
      <c r="J81" t="s">
        <v>58</v>
      </c>
    </row>
    <row r="82" spans="7:10" x14ac:dyDescent="0.25">
      <c r="G82">
        <v>2039</v>
      </c>
      <c r="H82" t="s">
        <v>66</v>
      </c>
      <c r="I82">
        <v>0.17120000000000002</v>
      </c>
      <c r="J82" t="s">
        <v>58</v>
      </c>
    </row>
    <row r="83" spans="7:10" x14ac:dyDescent="0.25">
      <c r="G83">
        <v>2040</v>
      </c>
      <c r="H83" t="s">
        <v>59</v>
      </c>
      <c r="I83">
        <v>0.22436666666666669</v>
      </c>
      <c r="J83" t="s">
        <v>58</v>
      </c>
    </row>
    <row r="84" spans="7:10" x14ac:dyDescent="0.25">
      <c r="G84">
        <v>2040</v>
      </c>
      <c r="H84" t="s">
        <v>62</v>
      </c>
      <c r="I84">
        <v>0.24586666666666668</v>
      </c>
      <c r="J84" t="s">
        <v>58</v>
      </c>
    </row>
    <row r="85" spans="7:10" x14ac:dyDescent="0.25">
      <c r="G85">
        <v>2040</v>
      </c>
      <c r="H85" t="s">
        <v>64</v>
      </c>
      <c r="I85">
        <v>0.14873333333333336</v>
      </c>
      <c r="J85" t="s">
        <v>58</v>
      </c>
    </row>
    <row r="86" spans="7:10" x14ac:dyDescent="0.25">
      <c r="G86">
        <v>2040</v>
      </c>
      <c r="H86" t="s">
        <v>66</v>
      </c>
      <c r="I86">
        <v>0.17123333333333335</v>
      </c>
      <c r="J86" t="s">
        <v>58</v>
      </c>
    </row>
    <row r="87" spans="7:10" x14ac:dyDescent="0.25">
      <c r="G87">
        <v>2041</v>
      </c>
      <c r="H87" t="s">
        <v>59</v>
      </c>
      <c r="I87">
        <v>0.22919999999999999</v>
      </c>
      <c r="J87" t="s">
        <v>58</v>
      </c>
    </row>
    <row r="88" spans="7:10" x14ac:dyDescent="0.25">
      <c r="G88">
        <v>2041</v>
      </c>
      <c r="H88" t="s">
        <v>62</v>
      </c>
      <c r="I88">
        <v>0.2588333333333333</v>
      </c>
      <c r="J88" t="s">
        <v>58</v>
      </c>
    </row>
    <row r="89" spans="7:10" x14ac:dyDescent="0.25">
      <c r="G89">
        <v>2041</v>
      </c>
      <c r="H89" t="s">
        <v>64</v>
      </c>
      <c r="I89">
        <v>0.15066666666666664</v>
      </c>
      <c r="J89" t="s">
        <v>58</v>
      </c>
    </row>
    <row r="90" spans="7:10" x14ac:dyDescent="0.25">
      <c r="G90">
        <v>2041</v>
      </c>
      <c r="H90" t="s">
        <v>66</v>
      </c>
      <c r="I90">
        <v>0.16470000000000001</v>
      </c>
      <c r="J90" t="s">
        <v>58</v>
      </c>
    </row>
    <row r="91" spans="7:10" x14ac:dyDescent="0.25">
      <c r="G91">
        <v>2042</v>
      </c>
      <c r="H91" t="s">
        <v>59</v>
      </c>
      <c r="I91">
        <v>0.25779999999999997</v>
      </c>
      <c r="J91" t="s">
        <v>58</v>
      </c>
    </row>
    <row r="92" spans="7:10" x14ac:dyDescent="0.25">
      <c r="G92">
        <v>2042</v>
      </c>
      <c r="H92" t="s">
        <v>62</v>
      </c>
      <c r="I92">
        <v>0.27343333333333336</v>
      </c>
      <c r="J92" t="s">
        <v>58</v>
      </c>
    </row>
    <row r="93" spans="7:10" x14ac:dyDescent="0.25">
      <c r="G93">
        <v>2042</v>
      </c>
      <c r="H93" t="s">
        <v>64</v>
      </c>
      <c r="I93">
        <v>0.17646666666666666</v>
      </c>
      <c r="J93" t="s">
        <v>58</v>
      </c>
    </row>
    <row r="94" spans="7:10" x14ac:dyDescent="0.25">
      <c r="G94">
        <v>2042</v>
      </c>
      <c r="H94" t="s">
        <v>66</v>
      </c>
      <c r="I94">
        <v>0.17419999999999999</v>
      </c>
      <c r="J94" t="s">
        <v>58</v>
      </c>
    </row>
    <row r="95" spans="7:10" x14ac:dyDescent="0.25">
      <c r="G95">
        <v>2043</v>
      </c>
      <c r="H95" t="s">
        <v>59</v>
      </c>
      <c r="I95">
        <v>0.26630000000000004</v>
      </c>
      <c r="J95" t="s">
        <v>58</v>
      </c>
    </row>
    <row r="96" spans="7:10" x14ac:dyDescent="0.25">
      <c r="G96">
        <v>2043</v>
      </c>
      <c r="H96" t="s">
        <v>62</v>
      </c>
      <c r="I96">
        <v>0.28319999999999995</v>
      </c>
      <c r="J96" t="s">
        <v>58</v>
      </c>
    </row>
    <row r="97" spans="7:10" x14ac:dyDescent="0.25">
      <c r="G97">
        <v>2043</v>
      </c>
      <c r="H97" t="s">
        <v>64</v>
      </c>
      <c r="I97">
        <v>0.17396666666666669</v>
      </c>
      <c r="J97" t="s">
        <v>58</v>
      </c>
    </row>
    <row r="98" spans="7:10" x14ac:dyDescent="0.25">
      <c r="G98">
        <v>2043</v>
      </c>
      <c r="H98" t="s">
        <v>66</v>
      </c>
      <c r="I98">
        <v>0.1859666666666667</v>
      </c>
      <c r="J98" t="s">
        <v>58</v>
      </c>
    </row>
    <row r="99" spans="7:10" x14ac:dyDescent="0.25">
      <c r="G99">
        <v>2044</v>
      </c>
      <c r="H99" t="s">
        <v>59</v>
      </c>
      <c r="I99">
        <v>0.26203333333333334</v>
      </c>
      <c r="J99" t="s">
        <v>58</v>
      </c>
    </row>
    <row r="100" spans="7:10" x14ac:dyDescent="0.25">
      <c r="G100">
        <v>2044</v>
      </c>
      <c r="H100" t="s">
        <v>62</v>
      </c>
      <c r="I100">
        <v>0.28893333333333332</v>
      </c>
      <c r="J100" t="s">
        <v>58</v>
      </c>
    </row>
    <row r="101" spans="7:10" x14ac:dyDescent="0.25">
      <c r="G101">
        <v>2044</v>
      </c>
      <c r="H101" t="s">
        <v>64</v>
      </c>
      <c r="I101">
        <v>0.17733333333333334</v>
      </c>
      <c r="J101" t="s">
        <v>58</v>
      </c>
    </row>
    <row r="102" spans="7:10" x14ac:dyDescent="0.25">
      <c r="G102">
        <v>2044</v>
      </c>
      <c r="H102" t="s">
        <v>66</v>
      </c>
      <c r="I102">
        <v>0.19473333333333334</v>
      </c>
      <c r="J102" t="s">
        <v>58</v>
      </c>
    </row>
    <row r="103" spans="7:10" x14ac:dyDescent="0.25">
      <c r="G103">
        <v>2045</v>
      </c>
      <c r="H103" t="s">
        <v>59</v>
      </c>
      <c r="I103">
        <v>0.19556666666666667</v>
      </c>
      <c r="J103" t="s">
        <v>58</v>
      </c>
    </row>
    <row r="104" spans="7:10" x14ac:dyDescent="0.25">
      <c r="G104">
        <v>2045</v>
      </c>
      <c r="H104" t="s">
        <v>62</v>
      </c>
      <c r="I104">
        <v>0.20859999999999998</v>
      </c>
      <c r="J104" t="s">
        <v>58</v>
      </c>
    </row>
    <row r="105" spans="7:10" x14ac:dyDescent="0.25">
      <c r="G105">
        <v>2045</v>
      </c>
      <c r="H105" t="s">
        <v>64</v>
      </c>
      <c r="I105">
        <v>0.12883333333333333</v>
      </c>
      <c r="J105" t="s">
        <v>58</v>
      </c>
    </row>
    <row r="106" spans="7:10" x14ac:dyDescent="0.25">
      <c r="G106">
        <v>2045</v>
      </c>
      <c r="H106" t="s">
        <v>66</v>
      </c>
      <c r="I106">
        <v>0.13870000000000002</v>
      </c>
      <c r="J106" t="s">
        <v>58</v>
      </c>
    </row>
    <row r="107" spans="7:10" x14ac:dyDescent="0.25">
      <c r="G107">
        <v>2046</v>
      </c>
      <c r="H107" t="s">
        <v>59</v>
      </c>
      <c r="I107">
        <v>0.19033333333333335</v>
      </c>
      <c r="J107" t="s">
        <v>58</v>
      </c>
    </row>
    <row r="108" spans="7:10" x14ac:dyDescent="0.25">
      <c r="G108">
        <v>2046</v>
      </c>
      <c r="H108" t="s">
        <v>62</v>
      </c>
      <c r="I108">
        <v>0.2114</v>
      </c>
      <c r="J108" t="s">
        <v>58</v>
      </c>
    </row>
    <row r="109" spans="7:10" x14ac:dyDescent="0.25">
      <c r="G109">
        <v>2046</v>
      </c>
      <c r="H109" t="s">
        <v>64</v>
      </c>
      <c r="I109">
        <v>0.13186666666666666</v>
      </c>
      <c r="J109" t="s">
        <v>58</v>
      </c>
    </row>
    <row r="110" spans="7:10" x14ac:dyDescent="0.25">
      <c r="G110">
        <v>2046</v>
      </c>
      <c r="H110" t="s">
        <v>66</v>
      </c>
      <c r="I110">
        <v>0.13133333333333333</v>
      </c>
      <c r="J110" t="s">
        <v>58</v>
      </c>
    </row>
    <row r="111" spans="7:10" x14ac:dyDescent="0.25">
      <c r="G111">
        <v>2047</v>
      </c>
      <c r="H111" t="s">
        <v>59</v>
      </c>
      <c r="I111">
        <v>0.2268</v>
      </c>
      <c r="J111" t="s">
        <v>58</v>
      </c>
    </row>
    <row r="112" spans="7:10" x14ac:dyDescent="0.25">
      <c r="G112">
        <v>2047</v>
      </c>
      <c r="H112" t="s">
        <v>62</v>
      </c>
      <c r="I112">
        <v>0.25869999999999999</v>
      </c>
      <c r="J112" t="s">
        <v>58</v>
      </c>
    </row>
    <row r="113" spans="7:10" x14ac:dyDescent="0.25">
      <c r="G113">
        <v>2047</v>
      </c>
      <c r="H113" t="s">
        <v>64</v>
      </c>
      <c r="I113">
        <v>0.1474</v>
      </c>
      <c r="J113" t="s">
        <v>58</v>
      </c>
    </row>
    <row r="114" spans="7:10" x14ac:dyDescent="0.25">
      <c r="G114">
        <v>2047</v>
      </c>
      <c r="H114" t="s">
        <v>66</v>
      </c>
      <c r="I114">
        <v>0.16766666666666666</v>
      </c>
      <c r="J114" t="s">
        <v>58</v>
      </c>
    </row>
    <row r="115" spans="7:10" x14ac:dyDescent="0.25">
      <c r="G115">
        <v>2048</v>
      </c>
      <c r="H115" t="s">
        <v>59</v>
      </c>
      <c r="I115">
        <v>0.22896666666666665</v>
      </c>
      <c r="J115" t="s">
        <v>58</v>
      </c>
    </row>
    <row r="116" spans="7:10" x14ac:dyDescent="0.25">
      <c r="G116">
        <v>2048</v>
      </c>
      <c r="H116" t="s">
        <v>62</v>
      </c>
      <c r="I116">
        <v>0.25863333333333333</v>
      </c>
      <c r="J116" t="s">
        <v>58</v>
      </c>
    </row>
    <row r="117" spans="7:10" x14ac:dyDescent="0.25">
      <c r="G117">
        <v>2048</v>
      </c>
      <c r="H117" t="s">
        <v>64</v>
      </c>
      <c r="I117">
        <v>0.15126666666666669</v>
      </c>
      <c r="J117" t="s">
        <v>58</v>
      </c>
    </row>
    <row r="118" spans="7:10" x14ac:dyDescent="0.25">
      <c r="G118">
        <v>2048</v>
      </c>
      <c r="H118" t="s">
        <v>66</v>
      </c>
      <c r="I118">
        <v>0.161</v>
      </c>
      <c r="J118" t="s">
        <v>58</v>
      </c>
    </row>
    <row r="119" spans="7:10" x14ac:dyDescent="0.25">
      <c r="G119">
        <v>2049</v>
      </c>
      <c r="H119" t="s">
        <v>59</v>
      </c>
      <c r="I119">
        <v>0.22430000000000003</v>
      </c>
      <c r="J119" t="s">
        <v>58</v>
      </c>
    </row>
    <row r="120" spans="7:10" x14ac:dyDescent="0.25">
      <c r="G120">
        <v>2049</v>
      </c>
      <c r="H120" t="s">
        <v>62</v>
      </c>
      <c r="I120">
        <v>0.23553333333333329</v>
      </c>
      <c r="J120" t="s">
        <v>58</v>
      </c>
    </row>
    <row r="121" spans="7:10" x14ac:dyDescent="0.25">
      <c r="G121">
        <v>2049</v>
      </c>
      <c r="H121" t="s">
        <v>64</v>
      </c>
      <c r="I121">
        <v>0.15029999999999999</v>
      </c>
      <c r="J121" t="s">
        <v>58</v>
      </c>
    </row>
    <row r="122" spans="7:10" x14ac:dyDescent="0.25">
      <c r="G122">
        <v>2049</v>
      </c>
      <c r="H122" t="s">
        <v>66</v>
      </c>
      <c r="I122">
        <v>0.1527</v>
      </c>
      <c r="J122" t="s">
        <v>58</v>
      </c>
    </row>
    <row r="123" spans="7:10" x14ac:dyDescent="0.25">
      <c r="G123">
        <v>2050</v>
      </c>
      <c r="H123" t="s">
        <v>59</v>
      </c>
      <c r="I123">
        <v>0.22690000000000002</v>
      </c>
      <c r="J123" t="s">
        <v>58</v>
      </c>
    </row>
    <row r="124" spans="7:10" x14ac:dyDescent="0.25">
      <c r="G124">
        <v>2050</v>
      </c>
      <c r="H124" t="s">
        <v>62</v>
      </c>
      <c r="I124">
        <v>0.24580000000000002</v>
      </c>
      <c r="J124" t="s">
        <v>58</v>
      </c>
    </row>
    <row r="125" spans="7:10" x14ac:dyDescent="0.25">
      <c r="G125">
        <v>2050</v>
      </c>
      <c r="H125" t="s">
        <v>64</v>
      </c>
      <c r="I125">
        <v>0.13863333333333336</v>
      </c>
      <c r="J125" t="s">
        <v>58</v>
      </c>
    </row>
    <row r="126" spans="7:10" x14ac:dyDescent="0.25">
      <c r="G126">
        <v>2050</v>
      </c>
      <c r="H126" t="s">
        <v>66</v>
      </c>
      <c r="I126">
        <v>0.16236666666666666</v>
      </c>
      <c r="J126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2026-06-30T11:26:14Z</dcterms:modified>
</cp:coreProperties>
</file>